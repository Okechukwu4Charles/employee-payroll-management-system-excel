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00" windowHeight="6600"/>
  </bookViews>
  <sheets>
    <sheet name="Payroll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<sst xmlns="http://schemas.openxmlformats.org/spreadsheetml/2006/main" count="69" uniqueCount="67">
  <si>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Employee Payroll Management System</t>
  </si>
  <si>
    <t>Hourly Wage</t>
  </si>
  <si>
    <t>Hours Worked</t>
  </si>
  <si>
    <t>Overtime Hours</t>
  </si>
  <si>
    <t>Pay</t>
  </si>
  <si>
    <t>Overtime Bonus</t>
  </si>
  <si>
    <t>Total Pay</t>
  </si>
  <si>
    <t>Monthly Pay</t>
  </si>
  <si>
    <t>Last Name</t>
  </si>
  <si>
    <t>First Name</t>
  </si>
  <si>
    <t>Adebayo</t>
  </si>
  <si>
    <t>Michael</t>
  </si>
  <si>
    <t>Ibrahim</t>
  </si>
  <si>
    <t>Soliu</t>
  </si>
  <si>
    <t>Omotunde</t>
  </si>
  <si>
    <t>Taiwo</t>
  </si>
  <si>
    <t>Ayotunde</t>
  </si>
  <si>
    <t>Samuel</t>
  </si>
  <si>
    <t>Makinde</t>
  </si>
  <si>
    <t>Deborah</t>
  </si>
  <si>
    <t>Daniel</t>
  </si>
  <si>
    <t>Christian</t>
  </si>
  <si>
    <t>Casemiro</t>
  </si>
  <si>
    <t>Carlos</t>
  </si>
  <si>
    <t>Mbuemo</t>
  </si>
  <si>
    <t>Bryan</t>
  </si>
  <si>
    <t>Kane</t>
  </si>
  <si>
    <t>Harry</t>
  </si>
  <si>
    <t>Musiala</t>
  </si>
  <si>
    <t>Jamal</t>
  </si>
  <si>
    <t>Gnabry</t>
  </si>
  <si>
    <t>Serge</t>
  </si>
  <si>
    <t>Tah</t>
  </si>
  <si>
    <t>Jonathan</t>
  </si>
  <si>
    <t>Olise</t>
  </si>
  <si>
    <t>Kimmich</t>
  </si>
  <si>
    <t>Joshua</t>
  </si>
  <si>
    <t>Neuer</t>
  </si>
  <si>
    <t>Manuel</t>
  </si>
  <si>
    <t>Jackson</t>
  </si>
  <si>
    <t>Nicolas</t>
  </si>
  <si>
    <t>Martinez</t>
  </si>
  <si>
    <t>Lisandro</t>
  </si>
  <si>
    <t>Min</t>
  </si>
  <si>
    <t>Max</t>
  </si>
  <si>
    <t>Average</t>
  </si>
  <si>
    <t>Total</t>
  </si>
  <si>
    <t>EMPLOYEE PAYROLL DASHBOARD</t>
  </si>
  <si>
    <t>KPI CARDS</t>
  </si>
  <si>
    <r>
      <rPr>
        <b/>
        <sz val="12"/>
        <color theme="1"/>
        <rFont val="Calibri"/>
        <charset val="134"/>
        <scheme val="minor"/>
      </rPr>
      <t xml:space="preserve">Total Monthly Payroll
</t>
    </r>
    <r>
      <rPr>
        <b/>
        <sz val="18"/>
        <color theme="1"/>
        <rFont val="Calibri"/>
        <charset val="134"/>
      </rPr>
      <t>₦ 3,688,533.50</t>
    </r>
    <r>
      <rPr>
        <sz val="12"/>
        <color theme="1"/>
        <rFont val="Calibri"/>
        <charset val="134"/>
      </rPr>
      <t xml:space="preserve">
</t>
    </r>
  </si>
  <si>
    <r>
      <rPr>
        <b/>
        <sz val="12"/>
        <color theme="1"/>
        <rFont val="Calibri"/>
        <charset val="134"/>
        <scheme val="minor"/>
      </rPr>
      <t xml:space="preserve">Average Monthly Salary
</t>
    </r>
    <r>
      <rPr>
        <b/>
        <sz val="18"/>
        <color theme="1"/>
        <rFont val="Calibri"/>
        <charset val="134"/>
        <scheme val="minor"/>
      </rPr>
      <t>₦ 216,972.56</t>
    </r>
    <r>
      <rPr>
        <sz val="12"/>
        <color theme="1"/>
        <rFont val="Calibri"/>
        <charset val="134"/>
        <scheme val="minor"/>
      </rPr>
      <t xml:space="preserve">
</t>
    </r>
  </si>
  <si>
    <r>
      <rPr>
        <b/>
        <sz val="12"/>
        <color theme="1"/>
        <rFont val="Calibri"/>
        <charset val="134"/>
        <scheme val="minor"/>
      </rPr>
      <t xml:space="preserve">Highest Monthly Salary
</t>
    </r>
    <r>
      <rPr>
        <b/>
        <sz val="18"/>
        <color theme="1"/>
        <rFont val="Calibri"/>
        <charset val="134"/>
      </rPr>
      <t>₦ 499,730.00</t>
    </r>
    <r>
      <rPr>
        <sz val="12"/>
        <color theme="1"/>
        <rFont val="Calibri"/>
        <charset val="134"/>
      </rPr>
      <t xml:space="preserve">
</t>
    </r>
  </si>
  <si>
    <t>KEY INSIGHTS</t>
  </si>
  <si>
    <t>Highest Paid Employee:</t>
  </si>
  <si>
    <t>Manuel Neuer</t>
  </si>
  <si>
    <t>Lowest Paid Employee:</t>
  </si>
  <si>
    <t>Michael Adebayo</t>
  </si>
  <si>
    <t>Employee with Most Overtime Worked:</t>
  </si>
  <si>
    <t>Jonathan Tah</t>
  </si>
  <si>
    <t>Employee with Least Overtime Worked:</t>
  </si>
  <si>
    <t>Samuel Ayotunde</t>
  </si>
  <si>
    <r>
      <rPr>
        <b/>
        <sz val="12"/>
        <color theme="1"/>
        <rFont val="Calibri"/>
        <charset val="134"/>
        <scheme val="minor"/>
      </rPr>
      <t xml:space="preserve">Total Employees
</t>
    </r>
    <r>
      <rPr>
        <b/>
        <sz val="18"/>
        <color theme="1"/>
        <rFont val="Calibri"/>
        <charset val="134"/>
        <scheme val="minor"/>
      </rPr>
      <t>17</t>
    </r>
    <r>
      <rPr>
        <sz val="12"/>
        <color theme="1"/>
        <rFont val="Calibri"/>
        <charset val="134"/>
        <scheme val="minor"/>
      </rPr>
      <t xml:space="preserve">
</t>
    </r>
  </si>
  <si>
    <r>
      <rPr>
        <b/>
        <sz val="12"/>
        <color theme="1"/>
        <rFont val="Calibri"/>
        <charset val="134"/>
        <scheme val="minor"/>
      </rPr>
      <t xml:space="preserve">Lowest Monthly Salary
</t>
    </r>
    <r>
      <rPr>
        <b/>
        <sz val="18"/>
        <color theme="1"/>
        <rFont val="Calibri"/>
        <charset val="134"/>
      </rPr>
      <t>₦ 108,250.00</t>
    </r>
    <r>
      <rPr>
        <sz val="12"/>
        <color theme="1"/>
        <rFont val="Calibri"/>
        <charset val="134"/>
      </rPr>
      <t xml:space="preserve">
</t>
    </r>
  </si>
  <si>
    <r>
      <rPr>
        <b/>
        <sz val="12"/>
        <color theme="1"/>
        <rFont val="Calibri"/>
        <charset val="134"/>
        <scheme val="minor"/>
      </rPr>
      <t xml:space="preserve">Total Overtime Hours
</t>
    </r>
    <r>
      <rPr>
        <b/>
        <sz val="18"/>
        <color theme="1"/>
        <rFont val="Calibri"/>
        <charset val="134"/>
        <scheme val="minor"/>
      </rPr>
      <t>299</t>
    </r>
    <r>
      <rPr>
        <sz val="12"/>
        <color theme="1"/>
        <rFont val="Calibri"/>
        <charset val="134"/>
        <scheme val="minor"/>
      </rPr>
      <t xml:space="preserve">
</t>
    </r>
  </si>
  <si>
    <t>Regular Pay vs Overtime Bonus</t>
  </si>
  <si>
    <t>Regular Pay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</si>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</sst>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₦-468]\ #,##0.00"/>
    <numFmt numFmtId="177" formatCode="[$₦-468]\ #,##0.00;[Red][$₦-468]\ #,##0.00"/>
    <numFmt numFmtId="178" formatCode="mmm\-yy"/>
  </numFmts>
  <fonts count="27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1"/>
      <name val="Calibri"/>
      <charset val="134"/>
    </font>
    <font>
      <sz val="12"/>
      <color theme="1"/>
      <name val="Calibri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34421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9" tint="0.39988402966399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8535111545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7" borderId="4" applyNumberFormat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5" fillId="0" borderId="0" xfId="0" applyFont="1"/>
    <xf numFmtId="0" fontId="1" fillId="0" borderId="0" xfId="0" applyFont="1" applyAlignment="1">
      <alignment wrapText="1"/>
    </xf>
    <xf numFmtId="0" fontId="5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176" fontId="5" fillId="0" borderId="0" xfId="0" applyNumberFormat="1" applyFont="1"/>
    <xf numFmtId="0" fontId="1" fillId="0" borderId="0" xfId="0" applyFont="1" applyAlignment="1">
      <alignment horizontal="center" wrapText="1"/>
    </xf>
    <xf numFmtId="177" fontId="1" fillId="0" borderId="0" xfId="0" applyNumberFormat="1" applyFont="1"/>
    <xf numFmtId="177" fontId="0" fillId="0" borderId="0" xfId="0" applyNumberFormat="1"/>
    <xf numFmtId="0" fontId="0" fillId="0" borderId="0" xfId="0" applyAlignment="1">
      <alignment horizontal="center"/>
    </xf>
    <xf numFmtId="177" fontId="5" fillId="0" borderId="0" xfId="0" applyNumberFormat="1" applyFont="1"/>
    <xf numFmtId="177" fontId="5" fillId="8" borderId="0" xfId="0" applyNumberFormat="1" applyFont="1" applyFill="1"/>
    <xf numFmtId="178" fontId="1" fillId="9" borderId="0" xfId="0" applyNumberFormat="1" applyFont="1" applyFill="1"/>
    <xf numFmtId="178" fontId="1" fillId="10" borderId="0" xfId="0" applyNumberFormat="1" applyFont="1" applyFill="1"/>
    <xf numFmtId="178" fontId="1" fillId="11" borderId="0" xfId="0" applyNumberFormat="1" applyFont="1" applyFill="1"/>
    <xf numFmtId="178" fontId="1" fillId="12" borderId="0" xfId="0" applyNumberFormat="1" applyFont="1" applyFill="1"/>
    <xf numFmtId="178" fontId="1" fillId="13" borderId="0" xfId="0" applyNumberFormat="1" applyFont="1" applyFill="1"/>
    <xf numFmtId="0" fontId="1" fillId="14" borderId="0" xfId="0" applyFont="1" applyFill="1"/>
    <xf numFmtId="177" fontId="1" fillId="8" borderId="0" xfId="0" applyNumberFormat="1" applyFont="1" applyFill="1"/>
    <xf numFmtId="0" fontId="1" fillId="9" borderId="0" xfId="0" applyFont="1" applyFill="1"/>
    <xf numFmtId="0" fontId="1" fillId="10" borderId="0" xfId="0" applyFont="1" applyFill="1"/>
    <xf numFmtId="177" fontId="1" fillId="11" borderId="0" xfId="0" applyNumberFormat="1" applyFont="1" applyFill="1"/>
    <xf numFmtId="177" fontId="1" fillId="12" borderId="0" xfId="0" applyNumberFormat="1" applyFont="1" applyFill="1"/>
    <xf numFmtId="177" fontId="1" fillId="13" borderId="0" xfId="0" applyNumberFormat="1" applyFont="1" applyFill="1"/>
    <xf numFmtId="177" fontId="1" fillId="14" borderId="0" xfId="0" applyNumberFormat="1" applyFont="1" applyFill="1"/>
    <xf numFmtId="1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34421"/>
      <color rgb="00B6270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Salary by Employee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Payroll!$AD$2:$AD$4</c:f>
              <c:strCache>
                <c:ptCount val="1"/>
                <c:pt idx="0">
                  <c:v>Employee Payroll Management System Monthly Pay Jan-29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Payroll!$A$5:$A$27</c15:sqref>
                  </c15:fullRef>
                </c:ext>
              </c:extLst>
              <c:f>Payroll!$A$5:$A$21</c:f>
              <c:strCache>
                <c:ptCount val="17"/>
                <c:pt idx="0">
                  <c:v>Adebayo</c:v>
                </c:pt>
                <c:pt idx="1">
                  <c:v>Ibrahim</c:v>
                </c:pt>
                <c:pt idx="2">
                  <c:v>Omotunde</c:v>
                </c:pt>
                <c:pt idx="3">
                  <c:v>Ayotunde</c:v>
                </c:pt>
                <c:pt idx="4">
                  <c:v>Makinde</c:v>
                </c:pt>
                <c:pt idx="5">
                  <c:v>Daniel</c:v>
                </c:pt>
                <c:pt idx="6">
                  <c:v>Casemiro</c:v>
                </c:pt>
                <c:pt idx="7">
                  <c:v>Mbuemo</c:v>
                </c:pt>
                <c:pt idx="8">
                  <c:v>Kane</c:v>
                </c:pt>
                <c:pt idx="9">
                  <c:v>Musiala</c:v>
                </c:pt>
                <c:pt idx="10">
                  <c:v>Gnabry</c:v>
                </c:pt>
                <c:pt idx="11">
                  <c:v>Tah</c:v>
                </c:pt>
                <c:pt idx="12">
                  <c:v>Olise</c:v>
                </c:pt>
                <c:pt idx="13">
                  <c:v>Kimmich</c:v>
                </c:pt>
                <c:pt idx="14">
                  <c:v>Neuer</c:v>
                </c:pt>
                <c:pt idx="15">
                  <c:v>Jackson</c:v>
                </c:pt>
                <c:pt idx="16">
                  <c:v>Martinez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Payroll!$AD$5:$AD$27</c15:sqref>
                  </c15:fullRef>
                </c:ext>
              </c:extLst>
              <c:f>Payroll!$AD$5:$AD$21</c:f>
              <c:numCache>
                <c:formatCode>[$₦-468]\ #,##0.00;[Red][$₦-468]\ #,##0.00</c:formatCode>
                <c:ptCount val="17"/>
                <c:pt idx="0">
                  <c:v>108250</c:v>
                </c:pt>
                <c:pt idx="1">
                  <c:v>131130</c:v>
                </c:pt>
                <c:pt idx="2">
                  <c:v>156491.25</c:v>
                </c:pt>
                <c:pt idx="3">
                  <c:v>123303.45</c:v>
                </c:pt>
                <c:pt idx="4">
                  <c:v>223416.25</c:v>
                </c:pt>
                <c:pt idx="5">
                  <c:v>161640</c:v>
                </c:pt>
                <c:pt idx="6">
                  <c:v>250768.8</c:v>
                </c:pt>
                <c:pt idx="7">
                  <c:v>198312.5</c:v>
                </c:pt>
                <c:pt idx="8">
                  <c:v>460250.4</c:v>
                </c:pt>
                <c:pt idx="9">
                  <c:v>209534.5</c:v>
                </c:pt>
                <c:pt idx="10">
                  <c:v>204602.5</c:v>
                </c:pt>
                <c:pt idx="11">
                  <c:v>202615</c:v>
                </c:pt>
                <c:pt idx="12">
                  <c:v>231483</c:v>
                </c:pt>
                <c:pt idx="13">
                  <c:v>237869.6</c:v>
                </c:pt>
                <c:pt idx="14">
                  <c:v>499730</c:v>
                </c:pt>
                <c:pt idx="15">
                  <c:v>133981.25</c:v>
                </c:pt>
                <c:pt idx="16">
                  <c:v>155155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42486559"/>
        <c:axId val="1042497119"/>
      </c:barChart>
      <c:catAx>
        <c:axId val="1042486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497119"/>
        <c:crosses val="autoZero"/>
        <c:auto val="1"/>
        <c:lblAlgn val="ctr"/>
        <c:lblOffset val="100"/>
        <c:noMultiLvlLbl val="0"/>
      </c:catAx>
      <c:valAx>
        <c:axId val="104249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8]\ #,##0.00;[Red][$₦-468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48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ee59479-8168-4efd-9e87-3c4fe553c44d}"/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Overtime Hours by Employees</a:t>
            </a:r>
            <a:endParaRPr lang="en-GB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"Week 1"</c:f>
              <c:strCache>
                <c:ptCount val="1"/>
                <c:pt idx="0">
                  <c:v>Week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Payroll!$A$5:$A$21</c:f>
              <c:strCache>
                <c:ptCount val="17"/>
                <c:pt idx="0">
                  <c:v>Adebayo</c:v>
                </c:pt>
                <c:pt idx="1">
                  <c:v>Ibrahim</c:v>
                </c:pt>
                <c:pt idx="2">
                  <c:v>Omotunde</c:v>
                </c:pt>
                <c:pt idx="3">
                  <c:v>Ayotunde</c:v>
                </c:pt>
                <c:pt idx="4">
                  <c:v>Makinde</c:v>
                </c:pt>
                <c:pt idx="5">
                  <c:v>Daniel</c:v>
                </c:pt>
                <c:pt idx="6">
                  <c:v>Casemiro</c:v>
                </c:pt>
                <c:pt idx="7">
                  <c:v>Mbuemo</c:v>
                </c:pt>
                <c:pt idx="8">
                  <c:v>Kane</c:v>
                </c:pt>
                <c:pt idx="9">
                  <c:v>Musiala</c:v>
                </c:pt>
                <c:pt idx="10">
                  <c:v>Gnabry</c:v>
                </c:pt>
                <c:pt idx="11">
                  <c:v>Tah</c:v>
                </c:pt>
                <c:pt idx="12">
                  <c:v>Olise</c:v>
                </c:pt>
                <c:pt idx="13">
                  <c:v>Kimmich</c:v>
                </c:pt>
                <c:pt idx="14">
                  <c:v>Neuer</c:v>
                </c:pt>
                <c:pt idx="15">
                  <c:v>Jackson</c:v>
                </c:pt>
                <c:pt idx="16">
                  <c:v>Martinez</c:v>
                </c:pt>
              </c:strCache>
            </c:strRef>
          </c:cat>
          <c:val>
            <c:numRef>
              <c:f>Payroll!$I$5:$I$21</c:f>
              <c:numCache>
                <c:formatCode>General</c:formatCode>
                <c:ptCount val="17"/>
                <c:pt idx="0">
                  <c:v>10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4</c:v>
                </c:pt>
                <c:pt idx="6">
                  <c:v>0</c:v>
                </c:pt>
                <c:pt idx="7">
                  <c:v>12</c:v>
                </c:pt>
                <c:pt idx="8">
                  <c:v>7</c:v>
                </c:pt>
                <c:pt idx="9">
                  <c:v>2</c:v>
                </c:pt>
                <c:pt idx="10">
                  <c:v>1</c:v>
                </c:pt>
                <c:pt idx="11">
                  <c:v>10</c:v>
                </c:pt>
                <c:pt idx="12">
                  <c:v>8</c:v>
                </c:pt>
                <c:pt idx="13">
                  <c:v>7</c:v>
                </c:pt>
                <c:pt idx="14">
                  <c:v>4</c:v>
                </c:pt>
                <c:pt idx="15">
                  <c:v>0</c:v>
                </c:pt>
                <c:pt idx="16">
                  <c:v>3</c:v>
                </c:pt>
              </c:numCache>
            </c:numRef>
          </c:val>
        </c:ser>
        <c:ser>
          <c:idx val="1"/>
          <c:order val="1"/>
          <c:tx>
            <c:strRef>
              <c:f>"Week 2"</c:f>
              <c:strCache>
                <c:ptCount val="1"/>
                <c:pt idx="0">
                  <c:v>Week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Payroll!$A$5:$A$21</c:f>
              <c:strCache>
                <c:ptCount val="17"/>
                <c:pt idx="0">
                  <c:v>Adebayo</c:v>
                </c:pt>
                <c:pt idx="1">
                  <c:v>Ibrahim</c:v>
                </c:pt>
                <c:pt idx="2">
                  <c:v>Omotunde</c:v>
                </c:pt>
                <c:pt idx="3">
                  <c:v>Ayotunde</c:v>
                </c:pt>
                <c:pt idx="4">
                  <c:v>Makinde</c:v>
                </c:pt>
                <c:pt idx="5">
                  <c:v>Daniel</c:v>
                </c:pt>
                <c:pt idx="6">
                  <c:v>Casemiro</c:v>
                </c:pt>
                <c:pt idx="7">
                  <c:v>Mbuemo</c:v>
                </c:pt>
                <c:pt idx="8">
                  <c:v>Kane</c:v>
                </c:pt>
                <c:pt idx="9">
                  <c:v>Musiala</c:v>
                </c:pt>
                <c:pt idx="10">
                  <c:v>Gnabry</c:v>
                </c:pt>
                <c:pt idx="11">
                  <c:v>Tah</c:v>
                </c:pt>
                <c:pt idx="12">
                  <c:v>Olise</c:v>
                </c:pt>
                <c:pt idx="13">
                  <c:v>Kimmich</c:v>
                </c:pt>
                <c:pt idx="14">
                  <c:v>Neuer</c:v>
                </c:pt>
                <c:pt idx="15">
                  <c:v>Jackson</c:v>
                </c:pt>
                <c:pt idx="16">
                  <c:v>Martinez</c:v>
                </c:pt>
              </c:strCache>
            </c:strRef>
          </c:cat>
          <c:val>
            <c:numRef>
              <c:f>Payroll!$J$5:$J$21</c:f>
              <c:numCache>
                <c:formatCode>General</c:formatCode>
                <c:ptCount val="17"/>
                <c:pt idx="0">
                  <c:v>1</c:v>
                </c:pt>
                <c:pt idx="1">
                  <c:v>0</c:v>
                </c:pt>
                <c:pt idx="2">
                  <c:v>8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</c:v>
                </c:pt>
                <c:pt idx="12">
                  <c:v>6</c:v>
                </c:pt>
                <c:pt idx="13">
                  <c:v>10</c:v>
                </c:pt>
                <c:pt idx="14">
                  <c:v>4</c:v>
                </c:pt>
                <c:pt idx="15">
                  <c:v>3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"Week 3"</c:f>
              <c:strCache>
                <c:ptCount val="1"/>
                <c:pt idx="0">
                  <c:v>Week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Payroll!$A$5:$A$21</c:f>
              <c:strCache>
                <c:ptCount val="17"/>
                <c:pt idx="0">
                  <c:v>Adebayo</c:v>
                </c:pt>
                <c:pt idx="1">
                  <c:v>Ibrahim</c:v>
                </c:pt>
                <c:pt idx="2">
                  <c:v>Omotunde</c:v>
                </c:pt>
                <c:pt idx="3">
                  <c:v>Ayotunde</c:v>
                </c:pt>
                <c:pt idx="4">
                  <c:v>Makinde</c:v>
                </c:pt>
                <c:pt idx="5">
                  <c:v>Daniel</c:v>
                </c:pt>
                <c:pt idx="6">
                  <c:v>Casemiro</c:v>
                </c:pt>
                <c:pt idx="7">
                  <c:v>Mbuemo</c:v>
                </c:pt>
                <c:pt idx="8">
                  <c:v>Kane</c:v>
                </c:pt>
                <c:pt idx="9">
                  <c:v>Musiala</c:v>
                </c:pt>
                <c:pt idx="10">
                  <c:v>Gnabry</c:v>
                </c:pt>
                <c:pt idx="11">
                  <c:v>Tah</c:v>
                </c:pt>
                <c:pt idx="12">
                  <c:v>Olise</c:v>
                </c:pt>
                <c:pt idx="13">
                  <c:v>Kimmich</c:v>
                </c:pt>
                <c:pt idx="14">
                  <c:v>Neuer</c:v>
                </c:pt>
                <c:pt idx="15">
                  <c:v>Jackson</c:v>
                </c:pt>
                <c:pt idx="16">
                  <c:v>Martinez</c:v>
                </c:pt>
              </c:strCache>
            </c:strRef>
          </c:cat>
          <c:val>
            <c:numRef>
              <c:f>Payroll!$K$5:$K$21</c:f>
              <c:numCache>
                <c:formatCode>General</c:formatCode>
                <c:ptCount val="1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7</c:v>
                </c:pt>
                <c:pt idx="7">
                  <c:v>8</c:v>
                </c:pt>
                <c:pt idx="8">
                  <c:v>0</c:v>
                </c:pt>
                <c:pt idx="9">
                  <c:v>1</c:v>
                </c:pt>
                <c:pt idx="10">
                  <c:v>11</c:v>
                </c:pt>
                <c:pt idx="11">
                  <c:v>0</c:v>
                </c:pt>
                <c:pt idx="12">
                  <c:v>3</c:v>
                </c:pt>
                <c:pt idx="13">
                  <c:v>7</c:v>
                </c:pt>
                <c:pt idx="14">
                  <c:v>10</c:v>
                </c:pt>
                <c:pt idx="15">
                  <c:v>0</c:v>
                </c:pt>
                <c:pt idx="16">
                  <c:v>1</c:v>
                </c:pt>
              </c:numCache>
            </c:numRef>
          </c:val>
        </c:ser>
        <c:ser>
          <c:idx val="3"/>
          <c:order val="3"/>
          <c:tx>
            <c:strRef>
              <c:f>"Week 4"</c:f>
              <c:strCache>
                <c:ptCount val="1"/>
                <c:pt idx="0">
                  <c:v>Week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Payroll!$A$5:$A$21</c:f>
              <c:strCache>
                <c:ptCount val="17"/>
                <c:pt idx="0">
                  <c:v>Adebayo</c:v>
                </c:pt>
                <c:pt idx="1">
                  <c:v>Ibrahim</c:v>
                </c:pt>
                <c:pt idx="2">
                  <c:v>Omotunde</c:v>
                </c:pt>
                <c:pt idx="3">
                  <c:v>Ayotunde</c:v>
                </c:pt>
                <c:pt idx="4">
                  <c:v>Makinde</c:v>
                </c:pt>
                <c:pt idx="5">
                  <c:v>Daniel</c:v>
                </c:pt>
                <c:pt idx="6">
                  <c:v>Casemiro</c:v>
                </c:pt>
                <c:pt idx="7">
                  <c:v>Mbuemo</c:v>
                </c:pt>
                <c:pt idx="8">
                  <c:v>Kane</c:v>
                </c:pt>
                <c:pt idx="9">
                  <c:v>Musiala</c:v>
                </c:pt>
                <c:pt idx="10">
                  <c:v>Gnabry</c:v>
                </c:pt>
                <c:pt idx="11">
                  <c:v>Tah</c:v>
                </c:pt>
                <c:pt idx="12">
                  <c:v>Olise</c:v>
                </c:pt>
                <c:pt idx="13">
                  <c:v>Kimmich</c:v>
                </c:pt>
                <c:pt idx="14">
                  <c:v>Neuer</c:v>
                </c:pt>
                <c:pt idx="15">
                  <c:v>Jackson</c:v>
                </c:pt>
                <c:pt idx="16">
                  <c:v>Martinez</c:v>
                </c:pt>
              </c:strCache>
            </c:strRef>
          </c:cat>
          <c:val>
            <c:numRef>
              <c:f>Payroll!$L$5:$L$21</c:f>
              <c:numCache>
                <c:formatCode>General</c:formatCode>
                <c:ptCount val="17"/>
                <c:pt idx="0">
                  <c:v>6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16</c:v>
                </c:pt>
                <c:pt idx="7">
                  <c:v>4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13</c:v>
                </c:pt>
                <c:pt idx="12">
                  <c:v>2</c:v>
                </c:pt>
                <c:pt idx="13">
                  <c:v>0</c:v>
                </c:pt>
                <c:pt idx="14">
                  <c:v>7</c:v>
                </c:pt>
                <c:pt idx="15">
                  <c:v>4</c:v>
                </c:pt>
                <c:pt idx="16">
                  <c:v>0</c:v>
                </c:pt>
              </c:numCache>
            </c:numRef>
          </c:val>
        </c:ser>
        <c:ser>
          <c:idx val="4"/>
          <c:order val="4"/>
          <c:tx>
            <c:strRef>
              <c:f>"Week 5"</c:f>
              <c:strCache>
                <c:ptCount val="1"/>
                <c:pt idx="0">
                  <c:v>Week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Payroll!$A$5:$A$21</c:f>
              <c:strCache>
                <c:ptCount val="17"/>
                <c:pt idx="0">
                  <c:v>Adebayo</c:v>
                </c:pt>
                <c:pt idx="1">
                  <c:v>Ibrahim</c:v>
                </c:pt>
                <c:pt idx="2">
                  <c:v>Omotunde</c:v>
                </c:pt>
                <c:pt idx="3">
                  <c:v>Ayotunde</c:v>
                </c:pt>
                <c:pt idx="4">
                  <c:v>Makinde</c:v>
                </c:pt>
                <c:pt idx="5">
                  <c:v>Daniel</c:v>
                </c:pt>
                <c:pt idx="6">
                  <c:v>Casemiro</c:v>
                </c:pt>
                <c:pt idx="7">
                  <c:v>Mbuemo</c:v>
                </c:pt>
                <c:pt idx="8">
                  <c:v>Kane</c:v>
                </c:pt>
                <c:pt idx="9">
                  <c:v>Musiala</c:v>
                </c:pt>
                <c:pt idx="10">
                  <c:v>Gnabry</c:v>
                </c:pt>
                <c:pt idx="11">
                  <c:v>Tah</c:v>
                </c:pt>
                <c:pt idx="12">
                  <c:v>Olise</c:v>
                </c:pt>
                <c:pt idx="13">
                  <c:v>Kimmich</c:v>
                </c:pt>
                <c:pt idx="14">
                  <c:v>Neuer</c:v>
                </c:pt>
                <c:pt idx="15">
                  <c:v>Jackson</c:v>
                </c:pt>
                <c:pt idx="16">
                  <c:v>Martinez</c:v>
                </c:pt>
              </c:strCache>
            </c:strRef>
          </c:cat>
          <c:val>
            <c:numRef>
              <c:f>Payroll!$M$5:$M$21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16</c:v>
                </c:pt>
                <c:pt idx="10">
                  <c:v>4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2</c:v>
                </c:pt>
                <c:pt idx="16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18868111"/>
        <c:axId val="1318880111"/>
      </c:barChart>
      <c:catAx>
        <c:axId val="1318868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8880111"/>
        <c:crosses val="autoZero"/>
        <c:auto val="1"/>
        <c:lblAlgn val="ctr"/>
        <c:lblOffset val="100"/>
        <c:noMultiLvlLbl val="0"/>
      </c:catAx>
      <c:valAx>
        <c:axId val="131888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18868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fd61afe-8272-47bb-91f6-0a3f111f19e0}"/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Weekly</a:t>
            </a:r>
            <a:r>
              <a:rPr lang="en-GB" baseline="0"/>
              <a:t> Payroll Trend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Payroll!$X$27:$AB$27</c:f>
              <c:numCache>
                <c:formatCode>[$₦-468]\ #,##0.00;[Red][$₦-468]\ #,##0.00</c:formatCode>
                <c:ptCount val="5"/>
                <c:pt idx="0">
                  <c:v>774495.8</c:v>
                </c:pt>
                <c:pt idx="1">
                  <c:v>714708.3</c:v>
                </c:pt>
                <c:pt idx="2">
                  <c:v>746104.35</c:v>
                </c:pt>
                <c:pt idx="3">
                  <c:v>747353.9</c:v>
                </c:pt>
                <c:pt idx="4">
                  <c:v>705871.15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115542831"/>
        <c:axId val="1115543311"/>
      </c:lineChart>
      <c:catAx>
        <c:axId val="111554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543311"/>
        <c:crosses val="autoZero"/>
        <c:auto val="1"/>
        <c:lblAlgn val="ctr"/>
        <c:lblOffset val="100"/>
        <c:noMultiLvlLbl val="0"/>
      </c:catAx>
      <c:valAx>
        <c:axId val="111554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8]\ #,##0.00;[Red][$₦-468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54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975ec15-f204-4a47-9769-404cd6bbbe18}"/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Regular</a:t>
            </a:r>
            <a:r>
              <a:rPr lang="en-GB" baseline="0"/>
              <a:t> Pay vs Overtime Bonus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Dashboard!$R$12:$R$13</c:f>
              <c:strCache>
                <c:ptCount val="2"/>
                <c:pt idx="0">
                  <c:v>Regular Pay</c:v>
                </c:pt>
                <c:pt idx="1">
                  <c:v>Overtime Bonus</c:v>
                </c:pt>
              </c:strCache>
            </c:strRef>
          </c:cat>
          <c:val>
            <c:numRef>
              <c:f>Dashboard!$S$12:$S$13</c:f>
              <c:numCache>
                <c:formatCode>[$₦-468]\ #,##0.00</c:formatCode>
                <c:ptCount val="2"/>
                <c:pt idx="0">
                  <c:v>3538116.5</c:v>
                </c:pt>
                <c:pt idx="1">
                  <c:v>150417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904cc0-2ff1-46b9-8806-1003a5950730}"/>
      </c:ext>
    </c:extLst>
  </c:chart>
  <c:spPr>
    <a:solidFill>
      <a:schemeClr val="accent5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15</xdr:row>
      <xdr:rowOff>196272</xdr:rowOff>
    </xdr:from>
    <xdr:to>
      <xdr:col>8</xdr:col>
      <xdr:colOff>559405</xdr:colOff>
      <xdr:row>36</xdr:row>
      <xdr:rowOff>166310</xdr:rowOff>
    </xdr:to>
    <xdr:graphicFrame>
      <xdr:nvGraphicFramePr>
        <xdr:cNvPr id="2" name="Chart 1"/>
        <xdr:cNvGraphicFramePr/>
      </xdr:nvGraphicFramePr>
      <xdr:xfrm>
        <a:off x="952500" y="3441065"/>
        <a:ext cx="7213600" cy="41033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207818</xdr:colOff>
      <xdr:row>16</xdr:row>
      <xdr:rowOff>60476</xdr:rowOff>
    </xdr:from>
    <xdr:to>
      <xdr:col>18</xdr:col>
      <xdr:colOff>1254881</xdr:colOff>
      <xdr:row>36</xdr:row>
      <xdr:rowOff>166310</xdr:rowOff>
    </xdr:to>
    <xdr:graphicFrame>
      <xdr:nvGraphicFramePr>
        <xdr:cNvPr id="3" name="Chart 2"/>
        <xdr:cNvGraphicFramePr/>
      </xdr:nvGraphicFramePr>
      <xdr:xfrm>
        <a:off x="9605645" y="3502025"/>
        <a:ext cx="8133715" cy="4042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937381</xdr:colOff>
      <xdr:row>39</xdr:row>
      <xdr:rowOff>84668</xdr:rowOff>
    </xdr:from>
    <xdr:to>
      <xdr:col>8</xdr:col>
      <xdr:colOff>604762</xdr:colOff>
      <xdr:row>59</xdr:row>
      <xdr:rowOff>181428</xdr:rowOff>
    </xdr:to>
    <xdr:graphicFrame>
      <xdr:nvGraphicFramePr>
        <xdr:cNvPr id="4" name="Chart 3"/>
        <xdr:cNvGraphicFramePr/>
      </xdr:nvGraphicFramePr>
      <xdr:xfrm>
        <a:off x="937260" y="8053705"/>
        <a:ext cx="7274560" cy="403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241333</xdr:colOff>
      <xdr:row>39</xdr:row>
      <xdr:rowOff>120953</xdr:rowOff>
    </xdr:from>
    <xdr:to>
      <xdr:col>18</xdr:col>
      <xdr:colOff>1239761</xdr:colOff>
      <xdr:row>60</xdr:row>
      <xdr:rowOff>30238</xdr:rowOff>
    </xdr:to>
    <xdr:graphicFrame>
      <xdr:nvGraphicFramePr>
        <xdr:cNvPr id="5" name="Chart 4"/>
        <xdr:cNvGraphicFramePr/>
      </xdr:nvGraphicFramePr>
      <xdr:xfrm>
        <a:off x="9639300" y="8089900"/>
        <a:ext cx="8084820" cy="404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J30"/>
  <sheetViews>
    <sheetView showGridLines="0" tabSelected="1" zoomScale="83" zoomScaleNormal="83" workbookViewId="0">
      <selection activeCell="O8" sqref="O8"/>
    </sheetView>
  </sheetViews>
  <sheetFormatPr defaultColWidth="9" defaultRowHeight="14.5"/>
  <cols>
    <col min="1" max="1" width="11.4545454545455" customWidth="1"/>
    <col min="2" max="2" width="11.6363636363636" customWidth="1"/>
    <col min="3" max="3" width="13.7272727272727" style="24" customWidth="1"/>
    <col min="4" max="4" width="15.4545454545455" customWidth="1"/>
    <col min="5" max="8" width="7.36363636363636" customWidth="1"/>
    <col min="9" max="9" width="16.8181818181818" customWidth="1"/>
    <col min="10" max="13" width="7.36363636363636" customWidth="1"/>
    <col min="14" max="18" width="13.7272727272727" customWidth="1"/>
    <col min="19" max="19" width="17" customWidth="1"/>
    <col min="20" max="23" width="12.4545454545455" customWidth="1"/>
    <col min="24" max="28" width="13.7272727272727" customWidth="1"/>
    <col min="30" max="30" width="15.5454545454545" customWidth="1"/>
    <col min="36" max="36" width="11.7272727272727" customWidth="1"/>
  </cols>
  <sheetData>
    <row r="2" ht="21" spans="1:36">
      <c r="A2" s="3" t="s">
        <v>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</row>
    <row r="3" ht="15.5" spans="1:36">
      <c r="A3" s="1"/>
      <c r="B3" s="1"/>
      <c r="C3" s="26" t="s">
        <v>1</v>
      </c>
      <c r="D3" s="13" t="s">
        <v>2</v>
      </c>
      <c r="E3" s="1"/>
      <c r="F3" s="1"/>
      <c r="G3" s="1"/>
      <c r="H3" s="1"/>
      <c r="I3" s="13" t="s">
        <v>3</v>
      </c>
      <c r="J3" s="1"/>
      <c r="K3" s="1"/>
      <c r="L3" s="1"/>
      <c r="M3" s="1"/>
      <c r="N3" s="13" t="s">
        <v>4</v>
      </c>
      <c r="O3" s="1"/>
      <c r="P3" s="1"/>
      <c r="Q3" s="1"/>
      <c r="R3" s="1"/>
      <c r="S3" s="13" t="s">
        <v>5</v>
      </c>
      <c r="T3" s="1"/>
      <c r="U3" s="1"/>
      <c r="V3" s="1"/>
      <c r="W3" s="1"/>
      <c r="X3" s="13" t="s">
        <v>6</v>
      </c>
      <c r="Y3" s="1"/>
      <c r="Z3" s="1"/>
      <c r="AA3" s="1"/>
      <c r="AB3" s="1"/>
      <c r="AC3" s="1"/>
      <c r="AD3" s="13" t="s">
        <v>7</v>
      </c>
    </row>
    <row r="4" ht="15.5" spans="1:36">
      <c r="A4" s="13" t="s">
        <v>8</v>
      </c>
      <c r="B4" s="13" t="s">
        <v>9</v>
      </c>
      <c r="C4" s="27"/>
      <c r="D4" s="28">
        <v>36892</v>
      </c>
      <c r="E4" s="28">
        <v>39448</v>
      </c>
      <c r="F4" s="28">
        <v>42005</v>
      </c>
      <c r="G4" s="28">
        <v>44562</v>
      </c>
      <c r="H4" s="28">
        <v>47119</v>
      </c>
      <c r="I4" s="29">
        <v>36892</v>
      </c>
      <c r="J4" s="29">
        <v>39448</v>
      </c>
      <c r="K4" s="29">
        <v>42005</v>
      </c>
      <c r="L4" s="29">
        <v>44562</v>
      </c>
      <c r="M4" s="29">
        <v>47119</v>
      </c>
      <c r="N4" s="30">
        <v>36892</v>
      </c>
      <c r="O4" s="30">
        <v>39448</v>
      </c>
      <c r="P4" s="30">
        <v>42005</v>
      </c>
      <c r="Q4" s="30">
        <v>44562</v>
      </c>
      <c r="R4" s="30">
        <v>47119</v>
      </c>
      <c r="S4" s="31">
        <v>36892</v>
      </c>
      <c r="T4" s="31">
        <v>39448</v>
      </c>
      <c r="U4" s="31">
        <v>42005</v>
      </c>
      <c r="V4" s="31">
        <v>44562</v>
      </c>
      <c r="W4" s="31">
        <v>47119</v>
      </c>
      <c r="X4" s="32">
        <v>36892</v>
      </c>
      <c r="Y4" s="32">
        <v>39448</v>
      </c>
      <c r="Z4" s="32">
        <v>42005</v>
      </c>
      <c r="AA4" s="32">
        <v>44562</v>
      </c>
      <c r="AB4" s="32">
        <v>47119</v>
      </c>
      <c r="AC4" s="32"/>
      <c r="AD4" s="33"/>
    </row>
    <row r="5" ht="15.5" spans="1:36">
      <c r="A5" s="1" t="s">
        <v>10</v>
      </c>
      <c r="B5" s="1" t="s">
        <v>11</v>
      </c>
      <c r="C5" s="34">
        <v>500</v>
      </c>
      <c r="D5" s="35">
        <v>50</v>
      </c>
      <c r="E5" s="35">
        <v>41</v>
      </c>
      <c r="F5" s="35">
        <v>38</v>
      </c>
      <c r="G5" s="35">
        <v>46</v>
      </c>
      <c r="H5" s="35">
        <v>33</v>
      </c>
      <c r="I5" s="36">
        <f>IF(D5&gt;40,D5-40,0)</f>
        <v>10</v>
      </c>
      <c r="J5" s="36">
        <f t="shared" ref="J5:J21" si="0">IF(E5&gt;40,E5-40,0)</f>
        <v>1</v>
      </c>
      <c r="K5" s="36">
        <f t="shared" ref="K5:K21" si="1">IF(F5&gt;40,F5-40,0)</f>
        <v>0</v>
      </c>
      <c r="L5" s="36">
        <f t="shared" ref="L5:L21" si="2">IF(G5&gt;40,G5-40,0)</f>
        <v>6</v>
      </c>
      <c r="M5" s="36">
        <f t="shared" ref="M5:M21" si="3">IF(H5&gt;40,H5-40,0)</f>
        <v>0</v>
      </c>
      <c r="N5" s="37">
        <f>$C5*D5</f>
        <v>25000</v>
      </c>
      <c r="O5" s="37">
        <f t="shared" ref="O5:R20" si="4">$C5*E5</f>
        <v>20500</v>
      </c>
      <c r="P5" s="37">
        <f t="shared" si="4"/>
        <v>19000</v>
      </c>
      <c r="Q5" s="37">
        <f t="shared" si="4"/>
        <v>23000</v>
      </c>
      <c r="R5" s="37">
        <f t="shared" si="4"/>
        <v>16500</v>
      </c>
      <c r="S5" s="38">
        <f>0.5*$C5*I5</f>
        <v>2500</v>
      </c>
      <c r="T5" s="38">
        <f t="shared" ref="T5:W20" si="5">0.5*$C5*J5</f>
        <v>250</v>
      </c>
      <c r="U5" s="38">
        <f t="shared" si="5"/>
        <v>0</v>
      </c>
      <c r="V5" s="38">
        <f t="shared" si="5"/>
        <v>1500</v>
      </c>
      <c r="W5" s="38">
        <f t="shared" si="5"/>
        <v>0</v>
      </c>
      <c r="X5" s="39">
        <f>N5+S5</f>
        <v>27500</v>
      </c>
      <c r="Y5" s="39">
        <f>O5+T5</f>
        <v>20750</v>
      </c>
      <c r="Z5" s="39">
        <f t="shared" ref="Z5:AB20" si="6">P5+U5</f>
        <v>19000</v>
      </c>
      <c r="AA5" s="39">
        <f t="shared" si="6"/>
        <v>24500</v>
      </c>
      <c r="AB5" s="39">
        <f t="shared" si="6"/>
        <v>16500</v>
      </c>
      <c r="AC5" s="39"/>
      <c r="AD5" s="40">
        <f t="shared" ref="AD5:AD21" si="7">X5+Y5+Z5+AA5+AB5</f>
        <v>108250</v>
      </c>
      <c r="AJ5" s="24"/>
    </row>
    <row r="6" ht="15.5" spans="1:36">
      <c r="A6" s="1" t="s">
        <v>12</v>
      </c>
      <c r="B6" s="1" t="s">
        <v>13</v>
      </c>
      <c r="C6" s="34">
        <v>620</v>
      </c>
      <c r="D6" s="35">
        <v>42</v>
      </c>
      <c r="E6" s="35">
        <v>38</v>
      </c>
      <c r="F6" s="35">
        <v>41</v>
      </c>
      <c r="G6" s="35">
        <v>46</v>
      </c>
      <c r="H6" s="35">
        <v>40</v>
      </c>
      <c r="I6" s="36">
        <f t="shared" ref="I6:I21" si="8">IF(D6&gt;40,D6-40,0)</f>
        <v>2</v>
      </c>
      <c r="J6" s="36">
        <f t="shared" si="0"/>
        <v>0</v>
      </c>
      <c r="K6" s="36">
        <f t="shared" si="1"/>
        <v>1</v>
      </c>
      <c r="L6" s="36">
        <f t="shared" si="2"/>
        <v>6</v>
      </c>
      <c r="M6" s="36">
        <f t="shared" si="3"/>
        <v>0</v>
      </c>
      <c r="N6" s="37">
        <f t="shared" ref="N6:N21" si="9">$C6*D6</f>
        <v>26040</v>
      </c>
      <c r="O6" s="37">
        <f t="shared" si="4"/>
        <v>23560</v>
      </c>
      <c r="P6" s="37">
        <f t="shared" si="4"/>
        <v>25420</v>
      </c>
      <c r="Q6" s="37">
        <f t="shared" si="4"/>
        <v>28520</v>
      </c>
      <c r="R6" s="37">
        <f t="shared" si="4"/>
        <v>24800</v>
      </c>
      <c r="S6" s="38">
        <f t="shared" ref="S6:S21" si="10">0.5*$C6*I6</f>
        <v>620</v>
      </c>
      <c r="T6" s="38">
        <f t="shared" si="5"/>
        <v>0</v>
      </c>
      <c r="U6" s="38">
        <f t="shared" si="5"/>
        <v>310</v>
      </c>
      <c r="V6" s="38">
        <f t="shared" si="5"/>
        <v>1860</v>
      </c>
      <c r="W6" s="38">
        <f t="shared" si="5"/>
        <v>0</v>
      </c>
      <c r="X6" s="39">
        <f t="shared" ref="X6:Y21" si="11">N6+S6</f>
        <v>26660</v>
      </c>
      <c r="Y6" s="39">
        <f t="shared" si="11"/>
        <v>23560</v>
      </c>
      <c r="Z6" s="39">
        <f t="shared" si="6"/>
        <v>25730</v>
      </c>
      <c r="AA6" s="39">
        <f t="shared" si="6"/>
        <v>30380</v>
      </c>
      <c r="AB6" s="39">
        <f t="shared" si="6"/>
        <v>24800</v>
      </c>
      <c r="AC6" s="39"/>
      <c r="AD6" s="40">
        <f t="shared" si="7"/>
        <v>131130</v>
      </c>
      <c r="AJ6" s="24"/>
    </row>
    <row r="7" ht="15.5" spans="1:36">
      <c r="A7" s="1" t="s">
        <v>14</v>
      </c>
      <c r="B7" s="1" t="s">
        <v>15</v>
      </c>
      <c r="C7" s="34">
        <v>719.5</v>
      </c>
      <c r="D7" s="35">
        <v>40</v>
      </c>
      <c r="E7" s="35">
        <v>48</v>
      </c>
      <c r="F7" s="35">
        <v>44</v>
      </c>
      <c r="G7" s="35">
        <v>41</v>
      </c>
      <c r="H7" s="35">
        <v>38</v>
      </c>
      <c r="I7" s="36">
        <f t="shared" si="8"/>
        <v>0</v>
      </c>
      <c r="J7" s="36">
        <f t="shared" si="0"/>
        <v>8</v>
      </c>
      <c r="K7" s="36">
        <f t="shared" si="1"/>
        <v>4</v>
      </c>
      <c r="L7" s="36">
        <f t="shared" si="2"/>
        <v>1</v>
      </c>
      <c r="M7" s="36">
        <f t="shared" si="3"/>
        <v>0</v>
      </c>
      <c r="N7" s="37">
        <f t="shared" si="9"/>
        <v>28780</v>
      </c>
      <c r="O7" s="37">
        <f t="shared" si="4"/>
        <v>34536</v>
      </c>
      <c r="P7" s="37">
        <f t="shared" si="4"/>
        <v>31658</v>
      </c>
      <c r="Q7" s="37">
        <f t="shared" si="4"/>
        <v>29499.5</v>
      </c>
      <c r="R7" s="37">
        <f t="shared" si="4"/>
        <v>27341</v>
      </c>
      <c r="S7" s="38">
        <f t="shared" si="10"/>
        <v>0</v>
      </c>
      <c r="T7" s="38">
        <f t="shared" si="5"/>
        <v>2878</v>
      </c>
      <c r="U7" s="38">
        <f t="shared" si="5"/>
        <v>1439</v>
      </c>
      <c r="V7" s="38">
        <f t="shared" si="5"/>
        <v>359.75</v>
      </c>
      <c r="W7" s="38">
        <f t="shared" si="5"/>
        <v>0</v>
      </c>
      <c r="X7" s="39">
        <f t="shared" si="11"/>
        <v>28780</v>
      </c>
      <c r="Y7" s="39">
        <f t="shared" si="11"/>
        <v>37414</v>
      </c>
      <c r="Z7" s="39">
        <f t="shared" si="6"/>
        <v>33097</v>
      </c>
      <c r="AA7" s="39">
        <f t="shared" si="6"/>
        <v>29859.25</v>
      </c>
      <c r="AB7" s="39">
        <f t="shared" si="6"/>
        <v>27341</v>
      </c>
      <c r="AC7" s="39"/>
      <c r="AD7" s="40">
        <f t="shared" si="7"/>
        <v>156491.25</v>
      </c>
      <c r="AJ7" s="24"/>
    </row>
    <row r="8" ht="15.5" spans="1:36">
      <c r="A8" s="1" t="s">
        <v>16</v>
      </c>
      <c r="B8" s="1" t="s">
        <v>17</v>
      </c>
      <c r="C8" s="34">
        <v>613.45</v>
      </c>
      <c r="D8" s="35">
        <v>40</v>
      </c>
      <c r="E8" s="35">
        <v>44</v>
      </c>
      <c r="F8" s="35">
        <v>35</v>
      </c>
      <c r="G8" s="35">
        <v>37</v>
      </c>
      <c r="H8" s="35">
        <v>42</v>
      </c>
      <c r="I8" s="36">
        <f t="shared" si="8"/>
        <v>0</v>
      </c>
      <c r="J8" s="36">
        <f t="shared" si="0"/>
        <v>4</v>
      </c>
      <c r="K8" s="36">
        <f t="shared" si="1"/>
        <v>0</v>
      </c>
      <c r="L8" s="36">
        <f t="shared" si="2"/>
        <v>0</v>
      </c>
      <c r="M8" s="36">
        <f t="shared" si="3"/>
        <v>2</v>
      </c>
      <c r="N8" s="37">
        <f t="shared" si="9"/>
        <v>24538</v>
      </c>
      <c r="O8" s="37">
        <f t="shared" si="4"/>
        <v>26991.8</v>
      </c>
      <c r="P8" s="37">
        <f t="shared" si="4"/>
        <v>21470.75</v>
      </c>
      <c r="Q8" s="37">
        <f t="shared" si="4"/>
        <v>22697.65</v>
      </c>
      <c r="R8" s="37">
        <f t="shared" si="4"/>
        <v>25764.9</v>
      </c>
      <c r="S8" s="38">
        <f t="shared" si="10"/>
        <v>0</v>
      </c>
      <c r="T8" s="38">
        <f t="shared" si="5"/>
        <v>1226.9</v>
      </c>
      <c r="U8" s="38">
        <f t="shared" si="5"/>
        <v>0</v>
      </c>
      <c r="V8" s="38">
        <f t="shared" si="5"/>
        <v>0</v>
      </c>
      <c r="W8" s="38">
        <f t="shared" si="5"/>
        <v>613.45</v>
      </c>
      <c r="X8" s="39">
        <f t="shared" si="11"/>
        <v>24538</v>
      </c>
      <c r="Y8" s="39">
        <f t="shared" si="11"/>
        <v>28218.7</v>
      </c>
      <c r="Z8" s="39">
        <f t="shared" si="6"/>
        <v>21470.75</v>
      </c>
      <c r="AA8" s="39">
        <f t="shared" si="6"/>
        <v>22697.65</v>
      </c>
      <c r="AB8" s="39">
        <f t="shared" si="6"/>
        <v>26378.35</v>
      </c>
      <c r="AC8" s="39"/>
      <c r="AD8" s="40">
        <f t="shared" si="7"/>
        <v>123303.45</v>
      </c>
      <c r="AJ8" s="24"/>
    </row>
    <row r="9" ht="15.5" spans="1:36">
      <c r="A9" s="1" t="s">
        <v>18</v>
      </c>
      <c r="B9" s="1" t="s">
        <v>19</v>
      </c>
      <c r="C9" s="34">
        <v>1022.5</v>
      </c>
      <c r="D9" s="35">
        <v>48</v>
      </c>
      <c r="E9" s="35">
        <v>44</v>
      </c>
      <c r="F9" s="35">
        <v>43</v>
      </c>
      <c r="G9" s="35">
        <v>37</v>
      </c>
      <c r="H9" s="35">
        <v>39</v>
      </c>
      <c r="I9" s="36">
        <f t="shared" si="8"/>
        <v>8</v>
      </c>
      <c r="J9" s="36">
        <f t="shared" si="0"/>
        <v>4</v>
      </c>
      <c r="K9" s="36">
        <f t="shared" si="1"/>
        <v>3</v>
      </c>
      <c r="L9" s="36">
        <f t="shared" si="2"/>
        <v>0</v>
      </c>
      <c r="M9" s="36">
        <f t="shared" si="3"/>
        <v>0</v>
      </c>
      <c r="N9" s="37">
        <f t="shared" si="9"/>
        <v>49080</v>
      </c>
      <c r="O9" s="37">
        <f t="shared" si="4"/>
        <v>44990</v>
      </c>
      <c r="P9" s="37">
        <f t="shared" si="4"/>
        <v>43967.5</v>
      </c>
      <c r="Q9" s="37">
        <f t="shared" si="4"/>
        <v>37832.5</v>
      </c>
      <c r="R9" s="37">
        <f t="shared" si="4"/>
        <v>39877.5</v>
      </c>
      <c r="S9" s="38">
        <f t="shared" si="10"/>
        <v>4090</v>
      </c>
      <c r="T9" s="38">
        <f t="shared" si="5"/>
        <v>2045</v>
      </c>
      <c r="U9" s="38">
        <f t="shared" si="5"/>
        <v>1533.75</v>
      </c>
      <c r="V9" s="38">
        <f t="shared" si="5"/>
        <v>0</v>
      </c>
      <c r="W9" s="38">
        <f t="shared" si="5"/>
        <v>0</v>
      </c>
      <c r="X9" s="39">
        <f t="shared" si="11"/>
        <v>53170</v>
      </c>
      <c r="Y9" s="39">
        <f t="shared" si="11"/>
        <v>47035</v>
      </c>
      <c r="Z9" s="39">
        <f t="shared" si="6"/>
        <v>45501.25</v>
      </c>
      <c r="AA9" s="39">
        <f t="shared" si="6"/>
        <v>37832.5</v>
      </c>
      <c r="AB9" s="39">
        <f t="shared" si="6"/>
        <v>39877.5</v>
      </c>
      <c r="AC9" s="39"/>
      <c r="AD9" s="40">
        <f t="shared" si="7"/>
        <v>223416.25</v>
      </c>
      <c r="AJ9" s="24"/>
    </row>
    <row r="10" ht="15.5" spans="1:36">
      <c r="A10" s="1" t="s">
        <v>20</v>
      </c>
      <c r="B10" s="1" t="s">
        <v>21</v>
      </c>
      <c r="C10" s="34">
        <v>720</v>
      </c>
      <c r="D10" s="35">
        <v>44</v>
      </c>
      <c r="E10" s="35">
        <v>36</v>
      </c>
      <c r="F10" s="35">
        <v>40</v>
      </c>
      <c r="G10" s="35">
        <v>44</v>
      </c>
      <c r="H10" s="35">
        <v>51</v>
      </c>
      <c r="I10" s="36">
        <f t="shared" si="8"/>
        <v>4</v>
      </c>
      <c r="J10" s="36">
        <f t="shared" si="0"/>
        <v>0</v>
      </c>
      <c r="K10" s="36">
        <f t="shared" si="1"/>
        <v>0</v>
      </c>
      <c r="L10" s="36">
        <f t="shared" si="2"/>
        <v>4</v>
      </c>
      <c r="M10" s="36">
        <f t="shared" si="3"/>
        <v>11</v>
      </c>
      <c r="N10" s="37">
        <f t="shared" si="9"/>
        <v>31680</v>
      </c>
      <c r="O10" s="37">
        <f t="shared" si="4"/>
        <v>25920</v>
      </c>
      <c r="P10" s="37">
        <f t="shared" si="4"/>
        <v>28800</v>
      </c>
      <c r="Q10" s="37">
        <f t="shared" si="4"/>
        <v>31680</v>
      </c>
      <c r="R10" s="37">
        <f t="shared" si="4"/>
        <v>36720</v>
      </c>
      <c r="S10" s="38">
        <f t="shared" si="10"/>
        <v>1440</v>
      </c>
      <c r="T10" s="38">
        <f t="shared" si="5"/>
        <v>0</v>
      </c>
      <c r="U10" s="38">
        <f t="shared" si="5"/>
        <v>0</v>
      </c>
      <c r="V10" s="38">
        <f t="shared" si="5"/>
        <v>1440</v>
      </c>
      <c r="W10" s="38">
        <f t="shared" si="5"/>
        <v>3960</v>
      </c>
      <c r="X10" s="39">
        <f t="shared" si="11"/>
        <v>33120</v>
      </c>
      <c r="Y10" s="39">
        <f>O10+T10</f>
        <v>25920</v>
      </c>
      <c r="Z10" s="39">
        <f t="shared" si="6"/>
        <v>28800</v>
      </c>
      <c r="AA10" s="39">
        <f t="shared" si="6"/>
        <v>33120</v>
      </c>
      <c r="AB10" s="39">
        <f t="shared" si="6"/>
        <v>40680</v>
      </c>
      <c r="AC10" s="39"/>
      <c r="AD10" s="40">
        <f t="shared" si="7"/>
        <v>161640</v>
      </c>
      <c r="AJ10" s="24"/>
    </row>
    <row r="11" ht="15.5" spans="1:36">
      <c r="A11" s="1" t="s">
        <v>22</v>
      </c>
      <c r="B11" s="1" t="s">
        <v>23</v>
      </c>
      <c r="C11" s="34">
        <v>1080.9</v>
      </c>
      <c r="D11" s="35">
        <v>40</v>
      </c>
      <c r="E11" s="35">
        <v>41</v>
      </c>
      <c r="F11" s="35">
        <v>47</v>
      </c>
      <c r="G11" s="35">
        <v>56</v>
      </c>
      <c r="H11" s="35">
        <v>36</v>
      </c>
      <c r="I11" s="36">
        <f t="shared" si="8"/>
        <v>0</v>
      </c>
      <c r="J11" s="36">
        <f t="shared" si="0"/>
        <v>1</v>
      </c>
      <c r="K11" s="36">
        <f t="shared" si="1"/>
        <v>7</v>
      </c>
      <c r="L11" s="36">
        <f t="shared" si="2"/>
        <v>16</v>
      </c>
      <c r="M11" s="36">
        <f t="shared" si="3"/>
        <v>0</v>
      </c>
      <c r="N11" s="37">
        <f t="shared" si="9"/>
        <v>43236</v>
      </c>
      <c r="O11" s="37">
        <f t="shared" si="4"/>
        <v>44316.9</v>
      </c>
      <c r="P11" s="37">
        <f t="shared" si="4"/>
        <v>50802.3</v>
      </c>
      <c r="Q11" s="37">
        <f t="shared" si="4"/>
        <v>60530.4</v>
      </c>
      <c r="R11" s="37">
        <f t="shared" si="4"/>
        <v>38912.4</v>
      </c>
      <c r="S11" s="38">
        <f t="shared" si="10"/>
        <v>0</v>
      </c>
      <c r="T11" s="38">
        <f t="shared" si="5"/>
        <v>540.45</v>
      </c>
      <c r="U11" s="38">
        <f t="shared" si="5"/>
        <v>3783.15</v>
      </c>
      <c r="V11" s="38">
        <f t="shared" si="5"/>
        <v>8647.2</v>
      </c>
      <c r="W11" s="38">
        <f t="shared" si="5"/>
        <v>0</v>
      </c>
      <c r="X11" s="39">
        <f t="shared" si="11"/>
        <v>43236</v>
      </c>
      <c r="Y11" s="39">
        <f t="shared" si="11"/>
        <v>44857.35</v>
      </c>
      <c r="Z11" s="39">
        <f t="shared" si="6"/>
        <v>54585.45</v>
      </c>
      <c r="AA11" s="39">
        <f t="shared" si="6"/>
        <v>69177.6</v>
      </c>
      <c r="AB11" s="39">
        <f t="shared" si="6"/>
        <v>38912.4</v>
      </c>
      <c r="AC11" s="39"/>
      <c r="AD11" s="40">
        <f t="shared" si="7"/>
        <v>250768.8</v>
      </c>
      <c r="AJ11" s="24"/>
    </row>
    <row r="12" ht="15.5" spans="1:36">
      <c r="A12" s="1" t="s">
        <v>24</v>
      </c>
      <c r="B12" s="1" t="s">
        <v>25</v>
      </c>
      <c r="C12" s="34">
        <v>835</v>
      </c>
      <c r="D12" s="35">
        <v>52</v>
      </c>
      <c r="E12" s="35">
        <v>41</v>
      </c>
      <c r="F12" s="35">
        <v>48</v>
      </c>
      <c r="G12" s="35">
        <v>44</v>
      </c>
      <c r="H12" s="35">
        <v>40</v>
      </c>
      <c r="I12" s="36">
        <f t="shared" si="8"/>
        <v>12</v>
      </c>
      <c r="J12" s="36">
        <f t="shared" si="0"/>
        <v>1</v>
      </c>
      <c r="K12" s="36">
        <f t="shared" si="1"/>
        <v>8</v>
      </c>
      <c r="L12" s="36">
        <f t="shared" si="2"/>
        <v>4</v>
      </c>
      <c r="M12" s="36">
        <f t="shared" si="3"/>
        <v>0</v>
      </c>
      <c r="N12" s="37">
        <f t="shared" si="9"/>
        <v>43420</v>
      </c>
      <c r="O12" s="37">
        <f t="shared" si="4"/>
        <v>34235</v>
      </c>
      <c r="P12" s="37">
        <f t="shared" si="4"/>
        <v>40080</v>
      </c>
      <c r="Q12" s="37">
        <f t="shared" si="4"/>
        <v>36740</v>
      </c>
      <c r="R12" s="37">
        <f t="shared" si="4"/>
        <v>33400</v>
      </c>
      <c r="S12" s="38">
        <f t="shared" si="10"/>
        <v>5010</v>
      </c>
      <c r="T12" s="38">
        <f t="shared" si="5"/>
        <v>417.5</v>
      </c>
      <c r="U12" s="38">
        <f t="shared" si="5"/>
        <v>3340</v>
      </c>
      <c r="V12" s="38">
        <f t="shared" si="5"/>
        <v>1670</v>
      </c>
      <c r="W12" s="38">
        <f t="shared" si="5"/>
        <v>0</v>
      </c>
      <c r="X12" s="39">
        <f t="shared" si="11"/>
        <v>48430</v>
      </c>
      <c r="Y12" s="39">
        <f t="shared" si="11"/>
        <v>34652.5</v>
      </c>
      <c r="Z12" s="39">
        <f t="shared" si="6"/>
        <v>43420</v>
      </c>
      <c r="AA12" s="39">
        <f t="shared" si="6"/>
        <v>38410</v>
      </c>
      <c r="AB12" s="39">
        <f t="shared" si="6"/>
        <v>33400</v>
      </c>
      <c r="AC12" s="39"/>
      <c r="AD12" s="40">
        <f t="shared" si="7"/>
        <v>198312.5</v>
      </c>
      <c r="AJ12" s="24"/>
    </row>
    <row r="13" ht="15.5" spans="1:36">
      <c r="A13" s="1" t="s">
        <v>26</v>
      </c>
      <c r="B13" s="1" t="s">
        <v>27</v>
      </c>
      <c r="C13" s="34">
        <v>2160.8</v>
      </c>
      <c r="D13" s="35">
        <v>47</v>
      </c>
      <c r="E13" s="35">
        <v>40</v>
      </c>
      <c r="F13" s="35">
        <v>40</v>
      </c>
      <c r="G13" s="35">
        <v>43</v>
      </c>
      <c r="H13" s="35">
        <v>38</v>
      </c>
      <c r="I13" s="36">
        <f t="shared" si="8"/>
        <v>7</v>
      </c>
      <c r="J13" s="36">
        <f t="shared" si="0"/>
        <v>0</v>
      </c>
      <c r="K13" s="36">
        <f t="shared" si="1"/>
        <v>0</v>
      </c>
      <c r="L13" s="36">
        <f t="shared" si="2"/>
        <v>3</v>
      </c>
      <c r="M13" s="36">
        <f t="shared" si="3"/>
        <v>0</v>
      </c>
      <c r="N13" s="37">
        <f t="shared" si="9"/>
        <v>101557.6</v>
      </c>
      <c r="O13" s="37">
        <f t="shared" si="4"/>
        <v>86432</v>
      </c>
      <c r="P13" s="37">
        <f t="shared" si="4"/>
        <v>86432</v>
      </c>
      <c r="Q13" s="37">
        <f t="shared" si="4"/>
        <v>92914.4</v>
      </c>
      <c r="R13" s="37">
        <f t="shared" si="4"/>
        <v>82110.4</v>
      </c>
      <c r="S13" s="38">
        <f t="shared" si="10"/>
        <v>7562.8</v>
      </c>
      <c r="T13" s="38">
        <f t="shared" si="5"/>
        <v>0</v>
      </c>
      <c r="U13" s="38">
        <f t="shared" si="5"/>
        <v>0</v>
      </c>
      <c r="V13" s="38">
        <f t="shared" si="5"/>
        <v>3241.2</v>
      </c>
      <c r="W13" s="38">
        <f t="shared" si="5"/>
        <v>0</v>
      </c>
      <c r="X13" s="39">
        <f t="shared" si="11"/>
        <v>109120.4</v>
      </c>
      <c r="Y13" s="39">
        <f t="shared" si="11"/>
        <v>86432</v>
      </c>
      <c r="Z13" s="39">
        <f t="shared" si="6"/>
        <v>86432</v>
      </c>
      <c r="AA13" s="39">
        <f t="shared" si="6"/>
        <v>96155.6</v>
      </c>
      <c r="AB13" s="39">
        <f t="shared" si="6"/>
        <v>82110.4</v>
      </c>
      <c r="AC13" s="39"/>
      <c r="AD13" s="40">
        <f t="shared" si="7"/>
        <v>460250.4</v>
      </c>
      <c r="AJ13" s="24"/>
    </row>
    <row r="14" ht="15.5" spans="1:36">
      <c r="A14" s="1" t="s">
        <v>28</v>
      </c>
      <c r="B14" s="1" t="s">
        <v>29</v>
      </c>
      <c r="C14" s="34">
        <v>917</v>
      </c>
      <c r="D14" s="35">
        <v>42</v>
      </c>
      <c r="E14" s="35">
        <v>40</v>
      </c>
      <c r="F14" s="35">
        <v>41</v>
      </c>
      <c r="G14" s="35">
        <v>40</v>
      </c>
      <c r="H14" s="35">
        <v>56</v>
      </c>
      <c r="I14" s="36">
        <f t="shared" si="8"/>
        <v>2</v>
      </c>
      <c r="J14" s="36">
        <f t="shared" si="0"/>
        <v>0</v>
      </c>
      <c r="K14" s="36">
        <f t="shared" si="1"/>
        <v>1</v>
      </c>
      <c r="L14" s="36">
        <f t="shared" si="2"/>
        <v>0</v>
      </c>
      <c r="M14" s="36">
        <f t="shared" si="3"/>
        <v>16</v>
      </c>
      <c r="N14" s="37">
        <f t="shared" si="9"/>
        <v>38514</v>
      </c>
      <c r="O14" s="37">
        <f t="shared" si="4"/>
        <v>36680</v>
      </c>
      <c r="P14" s="37">
        <f t="shared" si="4"/>
        <v>37597</v>
      </c>
      <c r="Q14" s="37">
        <f t="shared" si="4"/>
        <v>36680</v>
      </c>
      <c r="R14" s="37">
        <f t="shared" si="4"/>
        <v>51352</v>
      </c>
      <c r="S14" s="38">
        <f t="shared" si="10"/>
        <v>917</v>
      </c>
      <c r="T14" s="38">
        <f t="shared" si="5"/>
        <v>0</v>
      </c>
      <c r="U14" s="38">
        <f t="shared" si="5"/>
        <v>458.5</v>
      </c>
      <c r="V14" s="38">
        <f t="shared" si="5"/>
        <v>0</v>
      </c>
      <c r="W14" s="38">
        <f t="shared" si="5"/>
        <v>7336</v>
      </c>
      <c r="X14" s="39">
        <f t="shared" si="11"/>
        <v>39431</v>
      </c>
      <c r="Y14" s="39">
        <f t="shared" si="11"/>
        <v>36680</v>
      </c>
      <c r="Z14" s="39">
        <f t="shared" si="6"/>
        <v>38055.5</v>
      </c>
      <c r="AA14" s="39">
        <f t="shared" si="6"/>
        <v>36680</v>
      </c>
      <c r="AB14" s="39">
        <f t="shared" si="6"/>
        <v>58688</v>
      </c>
      <c r="AC14" s="39"/>
      <c r="AD14" s="40">
        <f t="shared" si="7"/>
        <v>209534.5</v>
      </c>
      <c r="AJ14" s="24"/>
    </row>
    <row r="15" ht="15.5" spans="1:36">
      <c r="A15" s="1" t="s">
        <v>30</v>
      </c>
      <c r="B15" s="1" t="s">
        <v>31</v>
      </c>
      <c r="C15" s="34">
        <v>917.5</v>
      </c>
      <c r="D15" s="35">
        <v>41</v>
      </c>
      <c r="E15" s="35">
        <v>36</v>
      </c>
      <c r="F15" s="35">
        <v>51</v>
      </c>
      <c r="G15" s="35">
        <v>42</v>
      </c>
      <c r="H15" s="35">
        <v>44</v>
      </c>
      <c r="I15" s="36">
        <f t="shared" si="8"/>
        <v>1</v>
      </c>
      <c r="J15" s="36">
        <f t="shared" si="0"/>
        <v>0</v>
      </c>
      <c r="K15" s="36">
        <f t="shared" si="1"/>
        <v>11</v>
      </c>
      <c r="L15" s="36">
        <f t="shared" si="2"/>
        <v>2</v>
      </c>
      <c r="M15" s="36">
        <f t="shared" si="3"/>
        <v>4</v>
      </c>
      <c r="N15" s="37">
        <f t="shared" si="9"/>
        <v>37617.5</v>
      </c>
      <c r="O15" s="37">
        <f t="shared" si="4"/>
        <v>33030</v>
      </c>
      <c r="P15" s="37">
        <f t="shared" si="4"/>
        <v>46792.5</v>
      </c>
      <c r="Q15" s="37">
        <f t="shared" si="4"/>
        <v>38535</v>
      </c>
      <c r="R15" s="37">
        <f t="shared" si="4"/>
        <v>40370</v>
      </c>
      <c r="S15" s="38">
        <f t="shared" si="10"/>
        <v>458.75</v>
      </c>
      <c r="T15" s="38">
        <f t="shared" si="5"/>
        <v>0</v>
      </c>
      <c r="U15" s="38">
        <f t="shared" si="5"/>
        <v>5046.25</v>
      </c>
      <c r="V15" s="38">
        <f t="shared" si="5"/>
        <v>917.5</v>
      </c>
      <c r="W15" s="38">
        <f t="shared" si="5"/>
        <v>1835</v>
      </c>
      <c r="X15" s="39">
        <f t="shared" si="11"/>
        <v>38076.25</v>
      </c>
      <c r="Y15" s="39">
        <f t="shared" si="11"/>
        <v>33030</v>
      </c>
      <c r="Z15" s="39">
        <f t="shared" si="6"/>
        <v>51838.75</v>
      </c>
      <c r="AA15" s="39">
        <f t="shared" si="6"/>
        <v>39452.5</v>
      </c>
      <c r="AB15" s="39">
        <f t="shared" si="6"/>
        <v>42205</v>
      </c>
      <c r="AC15" s="39"/>
      <c r="AD15" s="40">
        <f t="shared" si="7"/>
        <v>204602.5</v>
      </c>
      <c r="AJ15" s="24"/>
    </row>
    <row r="16" ht="15.5" spans="1:36">
      <c r="A16" s="1" t="s">
        <v>32</v>
      </c>
      <c r="B16" s="1" t="s">
        <v>33</v>
      </c>
      <c r="C16" s="34">
        <v>827</v>
      </c>
      <c r="D16" s="35">
        <v>50</v>
      </c>
      <c r="E16" s="35">
        <v>44</v>
      </c>
      <c r="F16" s="35">
        <v>40</v>
      </c>
      <c r="G16" s="35">
        <v>53</v>
      </c>
      <c r="H16" s="35">
        <v>43</v>
      </c>
      <c r="I16" s="36">
        <f t="shared" si="8"/>
        <v>10</v>
      </c>
      <c r="J16" s="36">
        <f t="shared" si="0"/>
        <v>4</v>
      </c>
      <c r="K16" s="36">
        <f t="shared" si="1"/>
        <v>0</v>
      </c>
      <c r="L16" s="36">
        <f t="shared" si="2"/>
        <v>13</v>
      </c>
      <c r="M16" s="36">
        <f t="shared" si="3"/>
        <v>3</v>
      </c>
      <c r="N16" s="37">
        <f t="shared" si="9"/>
        <v>41350</v>
      </c>
      <c r="O16" s="37">
        <f t="shared" si="4"/>
        <v>36388</v>
      </c>
      <c r="P16" s="37">
        <f t="shared" si="4"/>
        <v>33080</v>
      </c>
      <c r="Q16" s="37">
        <f t="shared" si="4"/>
        <v>43831</v>
      </c>
      <c r="R16" s="37">
        <f t="shared" si="4"/>
        <v>35561</v>
      </c>
      <c r="S16" s="38">
        <f t="shared" si="10"/>
        <v>4135</v>
      </c>
      <c r="T16" s="38">
        <f t="shared" si="5"/>
        <v>1654</v>
      </c>
      <c r="U16" s="38">
        <f t="shared" si="5"/>
        <v>0</v>
      </c>
      <c r="V16" s="38">
        <f t="shared" si="5"/>
        <v>5375.5</v>
      </c>
      <c r="W16" s="38">
        <f t="shared" si="5"/>
        <v>1240.5</v>
      </c>
      <c r="X16" s="39">
        <f t="shared" si="11"/>
        <v>45485</v>
      </c>
      <c r="Y16" s="39">
        <f t="shared" si="11"/>
        <v>38042</v>
      </c>
      <c r="Z16" s="39">
        <f t="shared" si="6"/>
        <v>33080</v>
      </c>
      <c r="AA16" s="39">
        <f t="shared" si="6"/>
        <v>49206.5</v>
      </c>
      <c r="AB16" s="39">
        <f t="shared" si="6"/>
        <v>36801.5</v>
      </c>
      <c r="AC16" s="39"/>
      <c r="AD16" s="40">
        <f t="shared" si="7"/>
        <v>202615</v>
      </c>
      <c r="AJ16" s="24"/>
    </row>
    <row r="17" ht="15.5" spans="1:36">
      <c r="A17" s="1" t="s">
        <v>34</v>
      </c>
      <c r="B17" s="1" t="s">
        <v>11</v>
      </c>
      <c r="C17" s="34">
        <v>1022</v>
      </c>
      <c r="D17" s="35">
        <v>48</v>
      </c>
      <c r="E17" s="35">
        <v>46</v>
      </c>
      <c r="F17" s="35">
        <v>43</v>
      </c>
      <c r="G17" s="35">
        <v>42</v>
      </c>
      <c r="H17" s="35">
        <v>38</v>
      </c>
      <c r="I17" s="36">
        <f t="shared" si="8"/>
        <v>8</v>
      </c>
      <c r="J17" s="36">
        <f t="shared" si="0"/>
        <v>6</v>
      </c>
      <c r="K17" s="36">
        <f t="shared" si="1"/>
        <v>3</v>
      </c>
      <c r="L17" s="36">
        <f t="shared" si="2"/>
        <v>2</v>
      </c>
      <c r="M17" s="36">
        <f t="shared" si="3"/>
        <v>0</v>
      </c>
      <c r="N17" s="37">
        <f t="shared" si="9"/>
        <v>49056</v>
      </c>
      <c r="O17" s="37">
        <f t="shared" si="4"/>
        <v>47012</v>
      </c>
      <c r="P17" s="37">
        <f t="shared" si="4"/>
        <v>43946</v>
      </c>
      <c r="Q17" s="37">
        <f t="shared" si="4"/>
        <v>42924</v>
      </c>
      <c r="R17" s="37">
        <f t="shared" si="4"/>
        <v>38836</v>
      </c>
      <c r="S17" s="38">
        <f t="shared" si="10"/>
        <v>4088</v>
      </c>
      <c r="T17" s="38">
        <f t="shared" si="5"/>
        <v>3066</v>
      </c>
      <c r="U17" s="38">
        <f t="shared" si="5"/>
        <v>1533</v>
      </c>
      <c r="V17" s="38">
        <f t="shared" si="5"/>
        <v>1022</v>
      </c>
      <c r="W17" s="38">
        <f t="shared" si="5"/>
        <v>0</v>
      </c>
      <c r="X17" s="39">
        <f t="shared" si="11"/>
        <v>53144</v>
      </c>
      <c r="Y17" s="39">
        <f t="shared" si="11"/>
        <v>50078</v>
      </c>
      <c r="Z17" s="39">
        <f t="shared" si="6"/>
        <v>45479</v>
      </c>
      <c r="AA17" s="39">
        <f t="shared" si="6"/>
        <v>43946</v>
      </c>
      <c r="AB17" s="39">
        <f t="shared" si="6"/>
        <v>38836</v>
      </c>
      <c r="AC17" s="39"/>
      <c r="AD17" s="40">
        <f t="shared" si="7"/>
        <v>231483</v>
      </c>
      <c r="AJ17" s="24"/>
    </row>
    <row r="18" ht="15.5" spans="1:36">
      <c r="A18" s="1" t="s">
        <v>35</v>
      </c>
      <c r="B18" s="1" t="s">
        <v>36</v>
      </c>
      <c r="C18" s="34">
        <v>1025.3</v>
      </c>
      <c r="D18" s="35">
        <v>47</v>
      </c>
      <c r="E18" s="35">
        <v>50</v>
      </c>
      <c r="F18" s="35">
        <v>47</v>
      </c>
      <c r="G18" s="35">
        <v>36</v>
      </c>
      <c r="H18" s="35">
        <v>40</v>
      </c>
      <c r="I18" s="36">
        <f t="shared" si="8"/>
        <v>7</v>
      </c>
      <c r="J18" s="36">
        <f t="shared" si="0"/>
        <v>10</v>
      </c>
      <c r="K18" s="36">
        <f t="shared" si="1"/>
        <v>7</v>
      </c>
      <c r="L18" s="36">
        <f t="shared" si="2"/>
        <v>0</v>
      </c>
      <c r="M18" s="36">
        <f t="shared" si="3"/>
        <v>0</v>
      </c>
      <c r="N18" s="37">
        <f t="shared" si="9"/>
        <v>48189.1</v>
      </c>
      <c r="O18" s="37">
        <f t="shared" si="4"/>
        <v>51265</v>
      </c>
      <c r="P18" s="37">
        <f t="shared" si="4"/>
        <v>48189.1</v>
      </c>
      <c r="Q18" s="37">
        <f t="shared" si="4"/>
        <v>36910.8</v>
      </c>
      <c r="R18" s="37">
        <f t="shared" si="4"/>
        <v>41012</v>
      </c>
      <c r="S18" s="38">
        <f t="shared" si="10"/>
        <v>3588.55</v>
      </c>
      <c r="T18" s="38">
        <f t="shared" si="5"/>
        <v>5126.5</v>
      </c>
      <c r="U18" s="38">
        <f t="shared" si="5"/>
        <v>3588.55</v>
      </c>
      <c r="V18" s="38">
        <f t="shared" si="5"/>
        <v>0</v>
      </c>
      <c r="W18" s="38">
        <f t="shared" si="5"/>
        <v>0</v>
      </c>
      <c r="X18" s="39">
        <f t="shared" si="11"/>
        <v>51777.65</v>
      </c>
      <c r="Y18" s="39">
        <f t="shared" si="11"/>
        <v>56391.5</v>
      </c>
      <c r="Z18" s="39">
        <f t="shared" si="6"/>
        <v>51777.65</v>
      </c>
      <c r="AA18" s="39">
        <f t="shared" si="6"/>
        <v>36910.8</v>
      </c>
      <c r="AB18" s="39">
        <f t="shared" si="6"/>
        <v>41012</v>
      </c>
      <c r="AC18" s="39"/>
      <c r="AD18" s="40">
        <f t="shared" si="7"/>
        <v>237869.6</v>
      </c>
      <c r="AJ18" s="24"/>
    </row>
    <row r="19" ht="15.5" spans="1:36">
      <c r="A19" s="1" t="s">
        <v>37</v>
      </c>
      <c r="B19" s="1" t="s">
        <v>38</v>
      </c>
      <c r="C19" s="34">
        <v>2065</v>
      </c>
      <c r="D19" s="35">
        <v>44</v>
      </c>
      <c r="E19" s="35">
        <v>44</v>
      </c>
      <c r="F19" s="35">
        <v>50</v>
      </c>
      <c r="G19" s="35">
        <v>47</v>
      </c>
      <c r="H19" s="35">
        <v>43</v>
      </c>
      <c r="I19" s="36">
        <f t="shared" si="8"/>
        <v>4</v>
      </c>
      <c r="J19" s="36">
        <f t="shared" si="0"/>
        <v>4</v>
      </c>
      <c r="K19" s="36">
        <f t="shared" si="1"/>
        <v>10</v>
      </c>
      <c r="L19" s="36">
        <f t="shared" si="2"/>
        <v>7</v>
      </c>
      <c r="M19" s="36">
        <f t="shared" si="3"/>
        <v>3</v>
      </c>
      <c r="N19" s="37">
        <f t="shared" si="9"/>
        <v>90860</v>
      </c>
      <c r="O19" s="37">
        <f t="shared" si="4"/>
        <v>90860</v>
      </c>
      <c r="P19" s="37">
        <f t="shared" si="4"/>
        <v>103250</v>
      </c>
      <c r="Q19" s="37">
        <f t="shared" si="4"/>
        <v>97055</v>
      </c>
      <c r="R19" s="37">
        <f t="shared" si="4"/>
        <v>88795</v>
      </c>
      <c r="S19" s="38">
        <f t="shared" si="10"/>
        <v>4130</v>
      </c>
      <c r="T19" s="38">
        <f t="shared" si="5"/>
        <v>4130</v>
      </c>
      <c r="U19" s="38">
        <f t="shared" si="5"/>
        <v>10325</v>
      </c>
      <c r="V19" s="38">
        <f t="shared" si="5"/>
        <v>7227.5</v>
      </c>
      <c r="W19" s="38">
        <f t="shared" si="5"/>
        <v>3097.5</v>
      </c>
      <c r="X19" s="39">
        <f t="shared" si="11"/>
        <v>94990</v>
      </c>
      <c r="Y19" s="39">
        <f t="shared" si="11"/>
        <v>94990</v>
      </c>
      <c r="Z19" s="39">
        <f t="shared" si="6"/>
        <v>113575</v>
      </c>
      <c r="AA19" s="39">
        <f t="shared" si="6"/>
        <v>104282.5</v>
      </c>
      <c r="AB19" s="39">
        <f t="shared" si="6"/>
        <v>91892.5</v>
      </c>
      <c r="AC19" s="39"/>
      <c r="AD19" s="40">
        <f t="shared" si="7"/>
        <v>499730</v>
      </c>
      <c r="AJ19" s="24"/>
    </row>
    <row r="20" ht="15.5" spans="1:36">
      <c r="A20" s="1" t="s">
        <v>39</v>
      </c>
      <c r="B20" s="1" t="s">
        <v>40</v>
      </c>
      <c r="C20" s="34">
        <v>630.5</v>
      </c>
      <c r="D20" s="35">
        <v>40</v>
      </c>
      <c r="E20" s="35">
        <v>43</v>
      </c>
      <c r="F20" s="35">
        <v>39</v>
      </c>
      <c r="G20" s="35">
        <v>44</v>
      </c>
      <c r="H20" s="35">
        <v>42</v>
      </c>
      <c r="I20" s="36">
        <f t="shared" si="8"/>
        <v>0</v>
      </c>
      <c r="J20" s="36">
        <f t="shared" si="0"/>
        <v>3</v>
      </c>
      <c r="K20" s="36">
        <f t="shared" si="1"/>
        <v>0</v>
      </c>
      <c r="L20" s="36">
        <f t="shared" si="2"/>
        <v>4</v>
      </c>
      <c r="M20" s="36">
        <f t="shared" si="3"/>
        <v>2</v>
      </c>
      <c r="N20" s="37">
        <f t="shared" si="9"/>
        <v>25220</v>
      </c>
      <c r="O20" s="37">
        <f t="shared" si="4"/>
        <v>27111.5</v>
      </c>
      <c r="P20" s="37">
        <f t="shared" si="4"/>
        <v>24589.5</v>
      </c>
      <c r="Q20" s="37">
        <f t="shared" si="4"/>
        <v>27742</v>
      </c>
      <c r="R20" s="37">
        <f t="shared" si="4"/>
        <v>26481</v>
      </c>
      <c r="S20" s="38">
        <f t="shared" si="10"/>
        <v>0</v>
      </c>
      <c r="T20" s="38">
        <f t="shared" si="5"/>
        <v>945.75</v>
      </c>
      <c r="U20" s="38">
        <f t="shared" si="5"/>
        <v>0</v>
      </c>
      <c r="V20" s="38">
        <f t="shared" si="5"/>
        <v>1261</v>
      </c>
      <c r="W20" s="38">
        <f t="shared" si="5"/>
        <v>630.5</v>
      </c>
      <c r="X20" s="39">
        <f t="shared" si="11"/>
        <v>25220</v>
      </c>
      <c r="Y20" s="39">
        <f t="shared" si="11"/>
        <v>28057.25</v>
      </c>
      <c r="Z20" s="39">
        <f t="shared" si="6"/>
        <v>24589.5</v>
      </c>
      <c r="AA20" s="39">
        <f t="shared" si="6"/>
        <v>29003</v>
      </c>
      <c r="AB20" s="39">
        <f t="shared" si="6"/>
        <v>27111.5</v>
      </c>
      <c r="AC20" s="39"/>
      <c r="AD20" s="40">
        <f t="shared" si="7"/>
        <v>133981.25</v>
      </c>
      <c r="AJ20" s="24"/>
    </row>
    <row r="21" ht="15.5" spans="1:36">
      <c r="A21" s="1" t="s">
        <v>41</v>
      </c>
      <c r="B21" s="1" t="s">
        <v>42</v>
      </c>
      <c r="C21" s="34">
        <v>715</v>
      </c>
      <c r="D21" s="35">
        <v>43</v>
      </c>
      <c r="E21" s="35">
        <v>40</v>
      </c>
      <c r="F21" s="35">
        <v>41</v>
      </c>
      <c r="G21" s="35">
        <v>36</v>
      </c>
      <c r="H21" s="35">
        <v>50</v>
      </c>
      <c r="I21" s="36">
        <f t="shared" si="8"/>
        <v>3</v>
      </c>
      <c r="J21" s="36">
        <f t="shared" si="0"/>
        <v>0</v>
      </c>
      <c r="K21" s="36">
        <f t="shared" si="1"/>
        <v>1</v>
      </c>
      <c r="L21" s="36">
        <f t="shared" si="2"/>
        <v>0</v>
      </c>
      <c r="M21" s="36">
        <f t="shared" si="3"/>
        <v>10</v>
      </c>
      <c r="N21" s="37">
        <f t="shared" si="9"/>
        <v>30745</v>
      </c>
      <c r="O21" s="37">
        <f t="shared" ref="O21" si="12">$C21*E21</f>
        <v>28600</v>
      </c>
      <c r="P21" s="37">
        <f t="shared" ref="P21" si="13">$C21*F21</f>
        <v>29315</v>
      </c>
      <c r="Q21" s="37">
        <f t="shared" ref="Q21" si="14">$C21*G21</f>
        <v>25740</v>
      </c>
      <c r="R21" s="37">
        <f t="shared" ref="R21" si="15">$C21*H21</f>
        <v>35750</v>
      </c>
      <c r="S21" s="38">
        <f t="shared" si="10"/>
        <v>1072.5</v>
      </c>
      <c r="T21" s="38">
        <f t="shared" ref="T21" si="16">0.5*$C21*J21</f>
        <v>0</v>
      </c>
      <c r="U21" s="38">
        <f t="shared" ref="U21" si="17">0.5*$C21*K21</f>
        <v>357.5</v>
      </c>
      <c r="V21" s="38">
        <f t="shared" ref="V21" si="18">0.5*$C21*L21</f>
        <v>0</v>
      </c>
      <c r="W21" s="38">
        <f t="shared" ref="W21" si="19">0.5*$C21*M21</f>
        <v>3575</v>
      </c>
      <c r="X21" s="39">
        <f t="shared" si="11"/>
        <v>31817.5</v>
      </c>
      <c r="Y21" s="39">
        <f t="shared" si="11"/>
        <v>28600</v>
      </c>
      <c r="Z21" s="39">
        <f t="shared" ref="Z21" si="20">P21+U21</f>
        <v>29672.5</v>
      </c>
      <c r="AA21" s="39">
        <f t="shared" ref="AA21" si="21">Q21+V21</f>
        <v>25740</v>
      </c>
      <c r="AB21" s="39">
        <f t="shared" ref="AB21" si="22">R21+W21</f>
        <v>39325</v>
      </c>
      <c r="AC21" s="39"/>
      <c r="AD21" s="40">
        <f t="shared" si="7"/>
        <v>155155</v>
      </c>
      <c r="AJ21" s="24"/>
    </row>
    <row r="22" ht="15.5" spans="1:36">
      <c r="A22" s="1"/>
      <c r="B22" s="1"/>
      <c r="C22" s="23"/>
      <c r="D22" s="1"/>
      <c r="E22" s="1"/>
      <c r="F22" s="1"/>
      <c r="G22" s="1"/>
      <c r="H22" s="1"/>
      <c r="I22" s="1"/>
      <c r="J22" s="1"/>
      <c r="K22" s="1"/>
      <c r="L22" s="1"/>
      <c r="M22" s="1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ht="15.5" spans="1:36">
      <c r="A23" s="1"/>
      <c r="B23" s="1"/>
      <c r="C23" s="23"/>
      <c r="D23" s="1"/>
      <c r="E23" s="1"/>
      <c r="F23" s="1"/>
      <c r="G23" s="1"/>
      <c r="H23" s="1"/>
      <c r="I23" s="1"/>
      <c r="J23" s="1"/>
      <c r="K23" s="1"/>
      <c r="L23" s="1"/>
      <c r="M23" s="1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ht="15.5" spans="1:36">
      <c r="A24" s="13" t="s">
        <v>43</v>
      </c>
      <c r="B24" s="1"/>
      <c r="C24" s="23">
        <f>MIN(C5:C21)</f>
        <v>500</v>
      </c>
      <c r="D24" s="1">
        <f>MIN(D5:D21)</f>
        <v>40</v>
      </c>
      <c r="E24" s="1">
        <f t="shared" ref="E24:N24" si="23">MIN(E5:E21)</f>
        <v>36</v>
      </c>
      <c r="F24" s="1">
        <f t="shared" si="23"/>
        <v>35</v>
      </c>
      <c r="G24" s="1">
        <f t="shared" si="23"/>
        <v>36</v>
      </c>
      <c r="H24" s="1">
        <f t="shared" si="23"/>
        <v>33</v>
      </c>
      <c r="I24" s="1">
        <f t="shared" si="23"/>
        <v>0</v>
      </c>
      <c r="J24" s="1">
        <f t="shared" si="23"/>
        <v>0</v>
      </c>
      <c r="K24" s="1">
        <f t="shared" si="23"/>
        <v>0</v>
      </c>
      <c r="L24" s="1">
        <f t="shared" si="23"/>
        <v>0</v>
      </c>
      <c r="M24" s="1">
        <f t="shared" si="23"/>
        <v>0</v>
      </c>
      <c r="N24" s="23">
        <f t="shared" si="23"/>
        <v>24538</v>
      </c>
      <c r="O24" s="23">
        <f t="shared" ref="O24:AD24" si="24">MIN(O5:O21)</f>
        <v>20500</v>
      </c>
      <c r="P24" s="23">
        <f t="shared" si="24"/>
        <v>19000</v>
      </c>
      <c r="Q24" s="23">
        <f t="shared" si="24"/>
        <v>22697.65</v>
      </c>
      <c r="R24" s="23">
        <f t="shared" si="24"/>
        <v>16500</v>
      </c>
      <c r="S24" s="23">
        <f t="shared" si="24"/>
        <v>0</v>
      </c>
      <c r="T24" s="23">
        <f t="shared" si="24"/>
        <v>0</v>
      </c>
      <c r="U24" s="23">
        <f t="shared" si="24"/>
        <v>0</v>
      </c>
      <c r="V24" s="23">
        <f t="shared" si="24"/>
        <v>0</v>
      </c>
      <c r="W24" s="23">
        <f t="shared" si="24"/>
        <v>0</v>
      </c>
      <c r="X24" s="23">
        <f t="shared" si="24"/>
        <v>24538</v>
      </c>
      <c r="Y24" s="23">
        <f t="shared" si="24"/>
        <v>20750</v>
      </c>
      <c r="Z24" s="23">
        <f t="shared" si="24"/>
        <v>19000</v>
      </c>
      <c r="AA24" s="23">
        <f t="shared" si="24"/>
        <v>22697.65</v>
      </c>
      <c r="AB24" s="23">
        <f t="shared" si="24"/>
        <v>16500</v>
      </c>
      <c r="AC24" s="23"/>
      <c r="AD24" s="23">
        <f t="shared" si="24"/>
        <v>108250</v>
      </c>
    </row>
    <row r="25" ht="15.5" spans="1:36">
      <c r="A25" s="13" t="s">
        <v>44</v>
      </c>
      <c r="B25" s="1"/>
      <c r="C25" s="23">
        <f>MAX(C5:C21)</f>
        <v>2160.8</v>
      </c>
      <c r="D25" s="1">
        <f>MAX(D5:D21)</f>
        <v>52</v>
      </c>
      <c r="E25" s="1">
        <f t="shared" ref="E25:N25" si="25">MAX(E5:E21)</f>
        <v>50</v>
      </c>
      <c r="F25" s="1">
        <f t="shared" si="25"/>
        <v>51</v>
      </c>
      <c r="G25" s="1">
        <f t="shared" si="25"/>
        <v>56</v>
      </c>
      <c r="H25" s="1">
        <f t="shared" si="25"/>
        <v>56</v>
      </c>
      <c r="I25" s="1">
        <f t="shared" si="25"/>
        <v>12</v>
      </c>
      <c r="J25" s="1">
        <f t="shared" si="25"/>
        <v>10</v>
      </c>
      <c r="K25" s="1">
        <f t="shared" si="25"/>
        <v>11</v>
      </c>
      <c r="L25" s="1">
        <f t="shared" si="25"/>
        <v>16</v>
      </c>
      <c r="M25" s="1">
        <f t="shared" si="25"/>
        <v>16</v>
      </c>
      <c r="N25" s="23">
        <f t="shared" si="25"/>
        <v>101557.6</v>
      </c>
      <c r="O25" s="23">
        <f t="shared" ref="O25:AD25" si="26">MAX(O5:O21)</f>
        <v>90860</v>
      </c>
      <c r="P25" s="23">
        <f t="shared" si="26"/>
        <v>103250</v>
      </c>
      <c r="Q25" s="23">
        <f t="shared" si="26"/>
        <v>97055</v>
      </c>
      <c r="R25" s="23">
        <f t="shared" si="26"/>
        <v>88795</v>
      </c>
      <c r="S25" s="23">
        <f t="shared" si="26"/>
        <v>7562.8</v>
      </c>
      <c r="T25" s="23">
        <f t="shared" si="26"/>
        <v>5126.5</v>
      </c>
      <c r="U25" s="23">
        <f t="shared" si="26"/>
        <v>10325</v>
      </c>
      <c r="V25" s="23">
        <f t="shared" si="26"/>
        <v>8647.2</v>
      </c>
      <c r="W25" s="23">
        <f t="shared" si="26"/>
        <v>7336</v>
      </c>
      <c r="X25" s="23">
        <f t="shared" si="26"/>
        <v>109120.4</v>
      </c>
      <c r="Y25" s="23">
        <f t="shared" si="26"/>
        <v>94990</v>
      </c>
      <c r="Z25" s="23">
        <f t="shared" si="26"/>
        <v>113575</v>
      </c>
      <c r="AA25" s="23">
        <f t="shared" si="26"/>
        <v>104282.5</v>
      </c>
      <c r="AB25" s="23">
        <f t="shared" si="26"/>
        <v>91892.5</v>
      </c>
      <c r="AC25" s="23"/>
      <c r="AD25" s="23">
        <f t="shared" si="26"/>
        <v>499730</v>
      </c>
    </row>
    <row r="26" ht="15.5" spans="1:36">
      <c r="A26" s="13" t="s">
        <v>45</v>
      </c>
      <c r="B26" s="1"/>
      <c r="C26" s="23">
        <f>AVERAGE(C5:C21)</f>
        <v>964.202941176471</v>
      </c>
      <c r="D26" s="41">
        <f>AVERAGE(D5:D21)</f>
        <v>44.5882352941176</v>
      </c>
      <c r="E26" s="41">
        <f t="shared" ref="E26:N26" si="27">AVERAGE(E5:E21)</f>
        <v>42.1176470588235</v>
      </c>
      <c r="F26" s="41">
        <f t="shared" si="27"/>
        <v>42.8235294117647</v>
      </c>
      <c r="G26" s="41">
        <f t="shared" si="27"/>
        <v>43.1764705882353</v>
      </c>
      <c r="H26" s="41">
        <f t="shared" si="27"/>
        <v>41.9411764705882</v>
      </c>
      <c r="I26" s="41">
        <f t="shared" si="27"/>
        <v>4.58823529411765</v>
      </c>
      <c r="J26" s="41">
        <f t="shared" si="27"/>
        <v>2.70588235294118</v>
      </c>
      <c r="K26" s="41">
        <f t="shared" si="27"/>
        <v>3.29411764705882</v>
      </c>
      <c r="L26" s="41">
        <f t="shared" si="27"/>
        <v>4</v>
      </c>
      <c r="M26" s="41">
        <f t="shared" si="27"/>
        <v>3</v>
      </c>
      <c r="N26" s="23">
        <f t="shared" si="27"/>
        <v>43228.4235294118</v>
      </c>
      <c r="O26" s="23">
        <f t="shared" ref="O26:AD26" si="28">AVERAGE(O5:O21)</f>
        <v>40731.0705882353</v>
      </c>
      <c r="P26" s="23">
        <f t="shared" si="28"/>
        <v>42022.9205882353</v>
      </c>
      <c r="Q26" s="23">
        <f t="shared" si="28"/>
        <v>41931.3088235294</v>
      </c>
      <c r="R26" s="23">
        <f t="shared" si="28"/>
        <v>40210.7764705882</v>
      </c>
      <c r="S26" s="23">
        <f t="shared" si="28"/>
        <v>2330.15294117647</v>
      </c>
      <c r="T26" s="23">
        <f t="shared" si="28"/>
        <v>1310.59411764706</v>
      </c>
      <c r="U26" s="23">
        <f t="shared" si="28"/>
        <v>1865.57058823529</v>
      </c>
      <c r="V26" s="23">
        <f t="shared" si="28"/>
        <v>2030.68529411765</v>
      </c>
      <c r="W26" s="23">
        <f t="shared" si="28"/>
        <v>1311.05588235294</v>
      </c>
      <c r="X26" s="23">
        <f t="shared" si="28"/>
        <v>45558.5764705882</v>
      </c>
      <c r="Y26" s="23">
        <f t="shared" si="28"/>
        <v>42041.6647058824</v>
      </c>
      <c r="Z26" s="23">
        <f t="shared" si="28"/>
        <v>43888.4911764706</v>
      </c>
      <c r="AA26" s="23">
        <f t="shared" si="28"/>
        <v>43961.9941176471</v>
      </c>
      <c r="AB26" s="23">
        <f t="shared" si="28"/>
        <v>41521.8323529412</v>
      </c>
      <c r="AC26" s="23"/>
      <c r="AD26" s="23">
        <f t="shared" si="28"/>
        <v>216972.558823529</v>
      </c>
    </row>
    <row r="27" ht="15.5" spans="1:36">
      <c r="A27" s="13" t="s">
        <v>46</v>
      </c>
      <c r="B27" s="1"/>
      <c r="C27" s="23">
        <f>SUM(C5:C21)</f>
        <v>16391.45</v>
      </c>
      <c r="D27" s="1">
        <f>SUM(D5:D21)</f>
        <v>758</v>
      </c>
      <c r="E27" s="1">
        <f t="shared" ref="E27:N27" si="29">SUM(E5:E21)</f>
        <v>716</v>
      </c>
      <c r="F27" s="1">
        <f t="shared" si="29"/>
        <v>728</v>
      </c>
      <c r="G27" s="1">
        <f t="shared" si="29"/>
        <v>734</v>
      </c>
      <c r="H27" s="1">
        <f t="shared" si="29"/>
        <v>713</v>
      </c>
      <c r="I27" s="1">
        <f t="shared" si="29"/>
        <v>78</v>
      </c>
      <c r="J27" s="1">
        <f t="shared" si="29"/>
        <v>46</v>
      </c>
      <c r="K27" s="1">
        <f t="shared" si="29"/>
        <v>56</v>
      </c>
      <c r="L27" s="1">
        <f t="shared" si="29"/>
        <v>68</v>
      </c>
      <c r="M27" s="1">
        <f t="shared" si="29"/>
        <v>51</v>
      </c>
      <c r="N27" s="23">
        <f t="shared" si="29"/>
        <v>734883.2</v>
      </c>
      <c r="O27" s="23">
        <f t="shared" ref="O27:AD27" si="30">SUM(O5:O21)</f>
        <v>692428.2</v>
      </c>
      <c r="P27" s="23">
        <f t="shared" si="30"/>
        <v>714389.65</v>
      </c>
      <c r="Q27" s="23">
        <f t="shared" si="30"/>
        <v>712832.25</v>
      </c>
      <c r="R27" s="23">
        <f t="shared" si="30"/>
        <v>683583.2</v>
      </c>
      <c r="S27" s="23">
        <f t="shared" si="30"/>
        <v>39612.6</v>
      </c>
      <c r="T27" s="23">
        <f t="shared" si="30"/>
        <v>22280.1</v>
      </c>
      <c r="U27" s="23">
        <f t="shared" si="30"/>
        <v>31714.7</v>
      </c>
      <c r="V27" s="23">
        <f t="shared" si="30"/>
        <v>34521.65</v>
      </c>
      <c r="W27" s="23">
        <f t="shared" si="30"/>
        <v>22287.95</v>
      </c>
      <c r="X27" s="23">
        <f t="shared" si="30"/>
        <v>774495.8</v>
      </c>
      <c r="Y27" s="23">
        <f t="shared" si="30"/>
        <v>714708.3</v>
      </c>
      <c r="Z27" s="23">
        <f t="shared" si="30"/>
        <v>746104.35</v>
      </c>
      <c r="AA27" s="23">
        <f t="shared" si="30"/>
        <v>747353.9</v>
      </c>
      <c r="AB27" s="23">
        <f t="shared" si="30"/>
        <v>705871.15</v>
      </c>
      <c r="AC27" s="23"/>
      <c r="AD27" s="23">
        <f t="shared" si="30"/>
        <v>3688533.5</v>
      </c>
    </row>
    <row r="30" spans="1:36">
      <c r="S30" s="24"/>
      <c r="U30" s="24"/>
    </row>
  </sheetData>
  <sortState ref="AJ5:AJ21">
    <sortCondition ref="AJ5:AJ21" descending="1"/>
  </sortState>
  <mergeCells count="1">
    <mergeCell ref="A2:AD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68"/>
  <sheetViews>
    <sheetView showGridLines="0" zoomScale="60" zoomScaleNormal="60" workbookViewId="0">
      <selection activeCell="V45" sqref="V45"/>
    </sheetView>
  </sheetViews>
  <sheetFormatPr defaultColWidth="8.72727272727273" defaultRowHeight="15.5"/>
  <cols>
    <col min="1" max="1" width="13.6363636363636" style="1" customWidth="1"/>
    <col min="2" max="2" width="15" style="1" customWidth="1"/>
    <col min="3" max="7" width="8.72727272727273" style="1"/>
    <col min="8" max="8" width="36.6363636363636" style="1" customWidth="1"/>
    <col min="9" max="9" width="16.9090909090909" style="1" customWidth="1"/>
    <col min="10" max="17" width="8.72727272727273" style="1"/>
    <col min="18" max="18" width="40.3636363636364" style="1" customWidth="1"/>
    <col min="19" max="19" width="18.7272727272727" style="1" customWidth="1"/>
    <col min="20" max="20" width="8.72727272727273" style="1"/>
    <col min="21" max="21" width="38.7272727272727" style="1" customWidth="1"/>
    <col min="22" max="22" width="31.7272727272727" style="1" customWidth="1"/>
    <col min="23" max="23" width="12.1818181818182" style="1" customWidth="1"/>
    <col min="24" max="16384" width="8.72727272727273" style="1"/>
  </cols>
  <sheetData>
    <row r="1" ht="23.5" spans="2:22">
      <c r="B1" s="2" t="s">
        <v>47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</row>
    <row r="3" ht="18.5" spans="2:22">
      <c r="B3" s="5" t="s">
        <v>48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6"/>
    </row>
    <row r="4" ht="18.5" spans="2:22"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  <c r="Q4" s="6"/>
    </row>
    <row r="5" ht="18.5" spans="2:22">
      <c r="B5" s="7" t="s">
        <v>49</v>
      </c>
      <c r="C5" s="8"/>
      <c r="D5" s="8"/>
      <c r="E5" s="8"/>
      <c r="G5" s="9" t="s">
        <v>50</v>
      </c>
      <c r="H5" s="10"/>
      <c r="I5" s="10"/>
      <c r="J5" s="10"/>
      <c r="L5" s="11" t="s">
        <v>51</v>
      </c>
      <c r="M5" s="12"/>
      <c r="N5" s="12"/>
      <c r="O5" s="12"/>
      <c r="R5" s="5" t="s">
        <v>52</v>
      </c>
      <c r="S5" s="5"/>
    </row>
    <row r="6" customHeight="1" spans="2:22">
      <c r="B6" s="8"/>
      <c r="C6" s="8"/>
      <c r="D6" s="8"/>
      <c r="E6" s="8"/>
      <c r="G6" s="10"/>
      <c r="H6" s="10"/>
      <c r="I6" s="10"/>
      <c r="J6" s="10"/>
      <c r="L6" s="12"/>
      <c r="M6" s="12"/>
      <c r="N6" s="12"/>
      <c r="O6" s="12"/>
      <c r="R6" s="1" t="s">
        <v>53</v>
      </c>
      <c r="S6" s="13" t="s">
        <v>54</v>
      </c>
    </row>
    <row r="7" spans="2:22">
      <c r="B7" s="8"/>
      <c r="C7" s="8"/>
      <c r="D7" s="8"/>
      <c r="E7" s="8"/>
      <c r="G7" s="10"/>
      <c r="H7" s="10"/>
      <c r="I7" s="10"/>
      <c r="J7" s="10"/>
      <c r="L7" s="12"/>
      <c r="M7" s="12"/>
      <c r="N7" s="12"/>
      <c r="O7" s="12"/>
      <c r="R7" s="1" t="s">
        <v>55</v>
      </c>
      <c r="S7" s="13" t="s">
        <v>56</v>
      </c>
    </row>
    <row r="8" spans="2:22">
      <c r="R8" s="1" t="s">
        <v>57</v>
      </c>
      <c r="S8" s="13" t="s">
        <v>58</v>
      </c>
    </row>
    <row r="9" spans="2:22">
      <c r="F9" s="14"/>
      <c r="P9" s="14"/>
      <c r="Q9" s="14"/>
      <c r="R9" s="1" t="s">
        <v>59</v>
      </c>
      <c r="S9" s="13" t="s">
        <v>60</v>
      </c>
    </row>
    <row r="10" customHeight="1" spans="2:22">
      <c r="B10" s="15" t="s">
        <v>61</v>
      </c>
      <c r="C10" s="16"/>
      <c r="D10" s="16"/>
      <c r="E10" s="16"/>
      <c r="G10" s="17" t="s">
        <v>62</v>
      </c>
      <c r="H10" s="18"/>
      <c r="I10" s="18"/>
      <c r="J10" s="18"/>
      <c r="L10" s="19" t="s">
        <v>63</v>
      </c>
      <c r="M10" s="20"/>
      <c r="N10" s="20"/>
      <c r="O10" s="20"/>
    </row>
    <row r="11" ht="18.5" spans="2:22">
      <c r="B11" s="16"/>
      <c r="C11" s="16"/>
      <c r="D11" s="16"/>
      <c r="E11" s="16"/>
      <c r="G11" s="18"/>
      <c r="H11" s="18"/>
      <c r="I11" s="18"/>
      <c r="J11" s="18"/>
      <c r="L11" s="20"/>
      <c r="M11" s="20"/>
      <c r="N11" s="20"/>
      <c r="O11" s="20"/>
      <c r="R11" s="5" t="s">
        <v>64</v>
      </c>
      <c r="S11" s="6"/>
    </row>
    <row r="12" spans="2:22">
      <c r="B12" s="16"/>
      <c r="C12" s="16"/>
      <c r="D12" s="16"/>
      <c r="E12" s="16"/>
      <c r="G12" s="18"/>
      <c r="H12" s="18"/>
      <c r="I12" s="18"/>
      <c r="J12" s="18"/>
      <c r="L12" s="20"/>
      <c r="M12" s="20"/>
      <c r="N12" s="20"/>
      <c r="O12" s="20"/>
      <c r="R12" s="1" t="s">
        <v>65</v>
      </c>
      <c r="S12" s="21">
        <f>SUM(Payroll!N27:R27)</f>
        <v>3538116.5</v>
      </c>
    </row>
    <row r="13" spans="2:22">
      <c r="B13" s="22"/>
      <c r="C13" s="22"/>
      <c r="D13" s="22"/>
      <c r="E13" s="22"/>
      <c r="G13" s="22"/>
      <c r="H13" s="22"/>
      <c r="I13" s="22"/>
      <c r="J13" s="22"/>
      <c r="L13" s="22"/>
      <c r="M13" s="22"/>
      <c r="N13" s="22"/>
      <c r="O13" s="22"/>
      <c r="R13" s="1" t="s">
        <v>5</v>
      </c>
      <c r="S13" s="21">
        <f>SUM(Payroll!S27:W27)</f>
        <v>150417</v>
      </c>
    </row>
    <row r="15" ht="18.5" spans="2:22">
      <c r="B15" s="5" t="s">
        <v>66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63" ht="18.5" spans="17:18">
      <c r="Q63" s="5"/>
      <c r="R63" s="5"/>
    </row>
    <row r="65" spans="18:18">
      <c r="R65" s="23"/>
    </row>
    <row r="66" spans="18:18">
      <c r="R66" s="23"/>
    </row>
    <row r="67" spans="18:18">
      <c r="R67" s="23"/>
    </row>
    <row r="68" spans="18:18">
      <c r="R68" s="23"/>
    </row>
  </sheetData>
  <mergeCells count="12">
    <mergeCell ref="B1:S1"/>
    <mergeCell ref="B3:O3"/>
    <mergeCell ref="R5:S5"/>
    <mergeCell ref="R11:S11"/>
    <mergeCell ref="B15:R15"/>
    <mergeCell ref="Q63:R63"/>
    <mergeCell ref="B5:E7"/>
    <mergeCell ref="L5:O7"/>
    <mergeCell ref="G10:J12"/>
    <mergeCell ref="L10:O12"/>
    <mergeCell ref="B10:E12"/>
    <mergeCell ref="G5:J7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Payroll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Okechukwu Charles</dc:creator>
  <cp:lastModifiedBy>HP-PC</cp:lastModifiedBy>
  <dcterms:created xsi:type="dcterms:W3CDTF">2026-01-22T20:40:00Z</dcterms:created>
  <dcterms:modified xsi:type="dcterms:W3CDTF">2026-07-13T15:55:57Z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1827D156A9CA4415BEDE023EB2D1DA91_12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